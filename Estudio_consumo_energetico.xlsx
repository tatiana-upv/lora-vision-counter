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atia\OneDrive\Escritorio\"/>
    </mc:Choice>
  </mc:AlternateContent>
  <xr:revisionPtr revIDLastSave="0" documentId="13_ncr:1_{FE713C7F-9A0A-4902-BABF-64D88715A5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ueba 1" sheetId="1" r:id="rId1"/>
    <sheet name="Prueba 2" sheetId="2" r:id="rId2"/>
    <sheet name="Prueba 3" sheetId="3" r:id="rId3"/>
    <sheet name="Prueba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H6" i="4"/>
  <c r="H3" i="4"/>
  <c r="I11" i="3"/>
  <c r="I9" i="3"/>
  <c r="I7" i="3"/>
  <c r="I5" i="3"/>
  <c r="I3" i="3"/>
  <c r="J5" i="2"/>
  <c r="H8" i="1"/>
  <c r="H8" i="3"/>
  <c r="I6" i="1"/>
  <c r="I7" i="2"/>
  <c r="J11" i="2"/>
  <c r="J9" i="2"/>
  <c r="J7" i="2"/>
  <c r="J3" i="2"/>
  <c r="I12" i="1"/>
  <c r="I10" i="1"/>
  <c r="I8" i="1"/>
</calcChain>
</file>

<file path=xl/sharedStrings.xml><?xml version="1.0" encoding="utf-8"?>
<sst xmlns="http://schemas.openxmlformats.org/spreadsheetml/2006/main" count="835" uniqueCount="384">
  <si>
    <t>Voltage-Current</t>
  </si>
  <si>
    <t>Time</t>
  </si>
  <si>
    <t>Voltage(V)</t>
  </si>
  <si>
    <t>Current(A)</t>
  </si>
  <si>
    <t>D+(V)</t>
  </si>
  <si>
    <t>D-(V)</t>
  </si>
  <si>
    <t>Date</t>
  </si>
  <si>
    <t>18:56:42</t>
  </si>
  <si>
    <t>2026-07-24</t>
  </si>
  <si>
    <t>18:56:43</t>
  </si>
  <si>
    <t>18:56:44</t>
  </si>
  <si>
    <t>18:56:45</t>
  </si>
  <si>
    <t>18:56:46</t>
  </si>
  <si>
    <t>18:56:47</t>
  </si>
  <si>
    <t>18:56:48</t>
  </si>
  <si>
    <t>18:56:49</t>
  </si>
  <si>
    <t>18:56:50</t>
  </si>
  <si>
    <t>18:56:51</t>
  </si>
  <si>
    <t>18:56:52</t>
  </si>
  <si>
    <t>18:56:53</t>
  </si>
  <si>
    <t>18:56:54</t>
  </si>
  <si>
    <t>18:56:55</t>
  </si>
  <si>
    <t>18:56:56</t>
  </si>
  <si>
    <t>18:56:57</t>
  </si>
  <si>
    <t>18:56:58</t>
  </si>
  <si>
    <t>18:56:59</t>
  </si>
  <si>
    <t>18:57:00</t>
  </si>
  <si>
    <t>18:57:01</t>
  </si>
  <si>
    <t>18:57:02</t>
  </si>
  <si>
    <t>18:57:03</t>
  </si>
  <si>
    <t>18:57:04</t>
  </si>
  <si>
    <t>18:57:05</t>
  </si>
  <si>
    <t>18:57:06</t>
  </si>
  <si>
    <t>18:57:07</t>
  </si>
  <si>
    <t>18:57:08</t>
  </si>
  <si>
    <t>18:57:09</t>
  </si>
  <si>
    <t>18:57:10</t>
  </si>
  <si>
    <t>18:57:11</t>
  </si>
  <si>
    <t>18:57:12</t>
  </si>
  <si>
    <t>18:57:13</t>
  </si>
  <si>
    <t>18:57:14</t>
  </si>
  <si>
    <t>18:57:15</t>
  </si>
  <si>
    <t>18:57:16</t>
  </si>
  <si>
    <t>{ model_size: 56552, model_addr: 0x81888d0, ram_size: 237424, ram_addr: 0xc000eac0, input_shape: ((1, 96, 96, 3),), input_scale: (0.00392157,), input_zero_point: (-128,), input_dtype: ('b',), output_shape: ((1, 12, 12, 2),), output_scale: (0.00390625,), output_zero_point: (-128,), output_dtype: ('b',) }</t>
  </si>
  <si>
    <t>0.000s | boot</t>
  </si>
  <si>
    <t>Firmware: ARD-078 1.2.3</t>
  </si>
  <si>
    <t>Device EUI: a8610a34303b6b04</t>
  </si>
  <si>
    <t>Imagen inicial capturada. Iniciando monitoreo del nido.</t>
  </si>
  <si>
    <t>0.043s | initial_reference_captured</t>
  </si>
  <si>
    <t>--- Nueva iteración ---</t>
  </si>
  <si>
    <t>0.043s | loop_start</t>
  </si>
  <si>
    <t>0.052s | frame_captured</t>
  </si>
  <si>
    <t>Detectando blobs en la imagen de diferencia</t>
  </si>
  <si>
    <t>0.109s | blobs_found=0</t>
  </si>
  <si>
    <t>Actualizada la imagen de diferencia</t>
  </si>
  <si>
    <t>0.111s | reference_updated</t>
  </si>
  <si>
    <t>5.111s | loop_start</t>
  </si>
  <si>
    <t>5.114s | frame_captured</t>
  </si>
  <si>
    <t>5.173s | blobs_found=2</t>
  </si>
  <si>
    <t>Hay cambios en la escena, ejecutando inferencia</t>
  </si>
  <si>
    <t>5.173s | running_inference</t>
  </si>
  <si>
    <t>Clase objetivo detectada: egg</t>
  </si>
  <si>
    <t>5.276s | egg_detected</t>
  </si>
  <si>
    <t>Es un nuevo objeto</t>
  </si>
  <si>
    <t>5.276s | new_object_confirmed</t>
  </si>
  <si>
    <t>Objetos ya contados anteriormente: [(150, 130)]</t>
  </si>
  <si>
    <t>Nuevo huevo detectado. Total de huevos: 1</t>
  </si>
  <si>
    <t>5.276s | object_counted total=1</t>
  </si>
  <si>
    <t>5.280s | new_object_confirmed</t>
  </si>
  <si>
    <t>El objeto ya está contado</t>
  </si>
  <si>
    <t>5.280s | already_counted</t>
  </si>
  <si>
    <t>5.282s | reference_updated</t>
  </si>
  <si>
    <t>10.282s | loop_start</t>
  </si>
  <si>
    <t>10.286s | frame_captured</t>
  </si>
  <si>
    <t>10.344s | blobs_found=1</t>
  </si>
  <si>
    <t>10.345s | running_inference</t>
  </si>
  <si>
    <t>!!!AVISO!!! Se ha detectado cesta vacía. Reiniciando contador.</t>
  </si>
  <si>
    <t>10.447s | cesta_vacia_reboot</t>
  </si>
  <si>
    <t>10.453s | send_lora_start total=1</t>
  </si>
  <si>
    <t>Enviando total por LoRa: 1</t>
  </si>
  <si>
    <t>10.461s | lora_join_start</t>
  </si>
  <si>
    <t>No unido a la red. Intentando join OTAA...</t>
  </si>
  <si>
    <t>Payload: COUNT: 1 len: 8</t>
  </si>
  <si>
    <t>18.731s | lora_payload COUNT: 1</t>
  </si>
  <si>
    <t>Enviado a TTN: COUNT: 1</t>
  </si>
  <si>
    <t>18.757s | lora_send_ok</t>
  </si>
  <si>
    <t>!!!AVISO!!! Se ha reiniciado el contador de objetos</t>
  </si>
  <si>
    <t>18.758s | counter_reset</t>
  </si>
  <si>
    <t>18.760s | reference_updated</t>
  </si>
  <si>
    <t>23.760s | loop_start</t>
  </si>
  <si>
    <t>23.764s | frame_captured</t>
  </si>
  <si>
    <t>23.822s | blobs_found=0</t>
  </si>
  <si>
    <t>23.824s | reference_updated</t>
  </si>
  <si>
    <t>Traceback (most recent call last):</t>
  </si>
  <si>
    <t xml:space="preserve">  File "&lt;stdin&gt;", line 265, in &lt;module&gt;</t>
  </si>
  <si>
    <t>OpenMV v4.5.9-dirty; MicroPython 7063c24; Arduino Portenta H7-STM32H747</t>
  </si>
  <si>
    <t>Type "help()" for more information.</t>
  </si>
  <si>
    <t xml:space="preserve">&gt;&gt;&gt; </t>
  </si>
  <si>
    <t>19:02:18</t>
  </si>
  <si>
    <t>19:02:19</t>
  </si>
  <si>
    <t>19:02:20</t>
  </si>
  <si>
    <t>19:02:21</t>
  </si>
  <si>
    <t>19:02:22</t>
  </si>
  <si>
    <t>19:02:23</t>
  </si>
  <si>
    <t>19:02:24</t>
  </si>
  <si>
    <t>19:02:25</t>
  </si>
  <si>
    <t>19:02:26</t>
  </si>
  <si>
    <t>19:02:27</t>
  </si>
  <si>
    <t>19:02:28</t>
  </si>
  <si>
    <t>19:02:29</t>
  </si>
  <si>
    <t>19:02:30</t>
  </si>
  <si>
    <t>19:02:31</t>
  </si>
  <si>
    <t>19:02:32</t>
  </si>
  <si>
    <t>19:02:33</t>
  </si>
  <si>
    <t>19:02:34</t>
  </si>
  <si>
    <t>19:02:35</t>
  </si>
  <si>
    <t>19:02:36</t>
  </si>
  <si>
    <t>19:02:37</t>
  </si>
  <si>
    <t>19:02:38</t>
  </si>
  <si>
    <t>19:02:39</t>
  </si>
  <si>
    <t>19:02:40</t>
  </si>
  <si>
    <t>19:02:41</t>
  </si>
  <si>
    <t>19:02:42</t>
  </si>
  <si>
    <t>19:02:43</t>
  </si>
  <si>
    <t>19:02:44</t>
  </si>
  <si>
    <t>19:02:45</t>
  </si>
  <si>
    <t>19:02:46</t>
  </si>
  <si>
    <t>19:02:47</t>
  </si>
  <si>
    <t>19:02:48</t>
  </si>
  <si>
    <t>19:02:49</t>
  </si>
  <si>
    <t>19:02:50</t>
  </si>
  <si>
    <t>19:02:51</t>
  </si>
  <si>
    <t>19:02:52</t>
  </si>
  <si>
    <t>19:02:53</t>
  </si>
  <si>
    <t>19:02:54</t>
  </si>
  <si>
    <t>19:02:55</t>
  </si>
  <si>
    <t>19:02:56</t>
  </si>
  <si>
    <t>19:02:57</t>
  </si>
  <si>
    <t>19:02:58</t>
  </si>
  <si>
    <t>19:02:59</t>
  </si>
  <si>
    <t>19:03:00</t>
  </si>
  <si>
    <t>19:03:01</t>
  </si>
  <si>
    <t>19:03:02</t>
  </si>
  <si>
    <t>19:03:03</t>
  </si>
  <si>
    <t>19:03:04</t>
  </si>
  <si>
    <t>19:03:05</t>
  </si>
  <si>
    <t>19:03:06</t>
  </si>
  <si>
    <t>19:03:07</t>
  </si>
  <si>
    <t>19:03:08</t>
  </si>
  <si>
    <t>19:03:09</t>
  </si>
  <si>
    <t>19:03:10</t>
  </si>
  <si>
    <t>19:03:11</t>
  </si>
  <si>
    <t>19:03:12</t>
  </si>
  <si>
    <t>19:03:13</t>
  </si>
  <si>
    <t>19:03:14</t>
  </si>
  <si>
    <t>19:03:15</t>
  </si>
  <si>
    <t>19:03:16</t>
  </si>
  <si>
    <t>19:03:17</t>
  </si>
  <si>
    <t>19:03:18</t>
  </si>
  <si>
    <t>19:03:19</t>
  </si>
  <si>
    <t>19:03:20</t>
  </si>
  <si>
    <t>19:03:21</t>
  </si>
  <si>
    <t>19:03:22</t>
  </si>
  <si>
    <t>5.173s | blobs_found=1</t>
  </si>
  <si>
    <t>5.281s | reference_updated</t>
  </si>
  <si>
    <t>10.281s | loop_start</t>
  </si>
  <si>
    <t>10.285s | frame_captured</t>
  </si>
  <si>
    <t>10.343s | blobs_found=1</t>
  </si>
  <si>
    <t>10.344s | running_inference</t>
  </si>
  <si>
    <t>10.446s | cesta_vacia_reboot</t>
  </si>
  <si>
    <t>10.452s | send_lora_start total=1</t>
  </si>
  <si>
    <t>10.460s | lora_join_start</t>
  </si>
  <si>
    <t>18.730s | lora_payload COUNT: 1</t>
  </si>
  <si>
    <t>18.756s | lora_send_ok</t>
  </si>
  <si>
    <t>18.757s | counter_reset</t>
  </si>
  <si>
    <t>18.759s | reference_updated</t>
  </si>
  <si>
    <t>23.759s | loop_start</t>
  </si>
  <si>
    <t>23.763s | frame_captured</t>
  </si>
  <si>
    <t>23.821s | blobs_found=0</t>
  </si>
  <si>
    <t>19:07:55</t>
  </si>
  <si>
    <t>19:07:56</t>
  </si>
  <si>
    <t>19:07:57</t>
  </si>
  <si>
    <t>19:07:58</t>
  </si>
  <si>
    <t>19:07:59</t>
  </si>
  <si>
    <t>19:08:00</t>
  </si>
  <si>
    <t>19:08:01</t>
  </si>
  <si>
    <t>19:08:02</t>
  </si>
  <si>
    <t>19:08:03</t>
  </si>
  <si>
    <t>19:08:04</t>
  </si>
  <si>
    <t>19:08:05</t>
  </si>
  <si>
    <t>19:08:06</t>
  </si>
  <si>
    <t>19:08:07</t>
  </si>
  <si>
    <t>19:08:08</t>
  </si>
  <si>
    <t>19:08:09</t>
  </si>
  <si>
    <t>19:08:10</t>
  </si>
  <si>
    <t>19:08:11</t>
  </si>
  <si>
    <t>19:08:12</t>
  </si>
  <si>
    <t>19:08:13</t>
  </si>
  <si>
    <t>19:08:14</t>
  </si>
  <si>
    <t>19:08:15</t>
  </si>
  <si>
    <t>19:08:16</t>
  </si>
  <si>
    <t>19:08:17</t>
  </si>
  <si>
    <t>19:08:18</t>
  </si>
  <si>
    <t>19:08:19</t>
  </si>
  <si>
    <t>19:08:20</t>
  </si>
  <si>
    <t>19:08:21</t>
  </si>
  <si>
    <t>19:08:22</t>
  </si>
  <si>
    <t>19:08:23</t>
  </si>
  <si>
    <t>19:08:24</t>
  </si>
  <si>
    <t>19:08:25</t>
  </si>
  <si>
    <t>19:08:26</t>
  </si>
  <si>
    <t>19:08:27</t>
  </si>
  <si>
    <t>19:08:28</t>
  </si>
  <si>
    <t>19:08:29</t>
  </si>
  <si>
    <t>0.112s | reference_updated</t>
  </si>
  <si>
    <t>5.112s | loop_start</t>
  </si>
  <si>
    <t>5.115s | frame_captured</t>
  </si>
  <si>
    <t>5.174s | blobs_found=1</t>
  </si>
  <si>
    <t>5.174s | running_inference</t>
  </si>
  <si>
    <t>5.277s | new_object_confirmed</t>
  </si>
  <si>
    <t>5.277s | object_counted total=1</t>
  </si>
  <si>
    <t>23.825s | reference_updated</t>
  </si>
  <si>
    <t>Ejecución del programa</t>
  </si>
  <si>
    <t>Nueva iteración</t>
  </si>
  <si>
    <t>Envio del mensaje</t>
  </si>
  <si>
    <t>al servidor</t>
  </si>
  <si>
    <t xml:space="preserve">Establecimiento de la </t>
  </si>
  <si>
    <t xml:space="preserve">conexión con el servidor  </t>
  </si>
  <si>
    <t>TTN (LoRaWAN)</t>
  </si>
  <si>
    <t xml:space="preserve">           EVENTO</t>
  </si>
  <si>
    <t>15.111s | loop_start</t>
  </si>
  <si>
    <t>15.114s | frame_captured</t>
  </si>
  <si>
    <t>15.173s | blobs_found=2</t>
  </si>
  <si>
    <t>15.173s | running_inference</t>
  </si>
  <si>
    <t>15.276s | egg_detected</t>
  </si>
  <si>
    <t>15.276s | new_object_confirmed</t>
  </si>
  <si>
    <t>Objetos ya contados anteriormente: [(150, 150)]</t>
  </si>
  <si>
    <t>15.276s | object_counted total=1</t>
  </si>
  <si>
    <t>15.280s | new_object_confirmed</t>
  </si>
  <si>
    <t>15.280s | already_counted</t>
  </si>
  <si>
    <t>15.282s | reference_updated</t>
  </si>
  <si>
    <t>30.282s | loop_start</t>
  </si>
  <si>
    <t>30.286s | frame_captured</t>
  </si>
  <si>
    <t>30.345s | blobs_found=2</t>
  </si>
  <si>
    <t>30.345s | running_inference</t>
  </si>
  <si>
    <t>30.447s | cesta_vacia_reboot</t>
  </si>
  <si>
    <t>30.453s | send_lora_start total=1</t>
  </si>
  <si>
    <t>30.461s | lora_join_start</t>
  </si>
  <si>
    <t>Error LoRa: invalid syntax for integer with base 10</t>
  </si>
  <si>
    <t>44.964s | lora_error invalid syntax for integer with base 10</t>
  </si>
  <si>
    <t>44.964s | counter_reset</t>
  </si>
  <si>
    <t>44.966s | reference_updated</t>
  </si>
  <si>
    <t>59.966s | loop_start</t>
  </si>
  <si>
    <t>59.970s | frame_captured</t>
  </si>
  <si>
    <t>60.029s | blobs_found=1</t>
  </si>
  <si>
    <t>60.029s | running_inference</t>
  </si>
  <si>
    <t>60.133s | reference_updated</t>
  </si>
  <si>
    <t>20:47:09</t>
  </si>
  <si>
    <t>20:47:10</t>
  </si>
  <si>
    <t>20:47:11</t>
  </si>
  <si>
    <t>20:47:12</t>
  </si>
  <si>
    <t>20:47:13</t>
  </si>
  <si>
    <t>20:47:14</t>
  </si>
  <si>
    <t>20:47:15</t>
  </si>
  <si>
    <t>20:47:16</t>
  </si>
  <si>
    <t>20:47:17</t>
  </si>
  <si>
    <t>20:47:18</t>
  </si>
  <si>
    <t>20:47:19</t>
  </si>
  <si>
    <t>20:47:20</t>
  </si>
  <si>
    <t>20:47:21</t>
  </si>
  <si>
    <t>20:47:22</t>
  </si>
  <si>
    <t>20:47:23</t>
  </si>
  <si>
    <t>20:47:24</t>
  </si>
  <si>
    <t>20:47:25</t>
  </si>
  <si>
    <t>20:47:26</t>
  </si>
  <si>
    <t>20:47:27</t>
  </si>
  <si>
    <t>20:47:28</t>
  </si>
  <si>
    <t>20:47:29</t>
  </si>
  <si>
    <t>20:47:30</t>
  </si>
  <si>
    <t>20:47:31</t>
  </si>
  <si>
    <t>20:47:32</t>
  </si>
  <si>
    <t>20:47:33</t>
  </si>
  <si>
    <t>20:47:34</t>
  </si>
  <si>
    <t>20:47:35</t>
  </si>
  <si>
    <t>20:47:36</t>
  </si>
  <si>
    <t>20:47:37</t>
  </si>
  <si>
    <t>20:47:38</t>
  </si>
  <si>
    <t>20:47:39</t>
  </si>
  <si>
    <t>20:47:40</t>
  </si>
  <si>
    <t>20:47:41</t>
  </si>
  <si>
    <t>20:47:42</t>
  </si>
  <si>
    <t>20:47:43</t>
  </si>
  <si>
    <t>20:47:44</t>
  </si>
  <si>
    <t>20:47:45</t>
  </si>
  <si>
    <t>20:47:46</t>
  </si>
  <si>
    <t>20:47:47</t>
  </si>
  <si>
    <t>20:47:48</t>
  </si>
  <si>
    <t>20:47:49</t>
  </si>
  <si>
    <t>20:47:50</t>
  </si>
  <si>
    <t>20:47:51</t>
  </si>
  <si>
    <t>20:47:52</t>
  </si>
  <si>
    <t>20:47:53</t>
  </si>
  <si>
    <t>20:47:54</t>
  </si>
  <si>
    <t>20:47:55</t>
  </si>
  <si>
    <t>20:47:56</t>
  </si>
  <si>
    <t>20:47:57</t>
  </si>
  <si>
    <t>20:47:58</t>
  </si>
  <si>
    <t>20:47:59</t>
  </si>
  <si>
    <t>20:48:00</t>
  </si>
  <si>
    <t>20:48:01</t>
  </si>
  <si>
    <t>20:48:02</t>
  </si>
  <si>
    <t>20:48:03</t>
  </si>
  <si>
    <t>20:48:04</t>
  </si>
  <si>
    <t>20:48:05</t>
  </si>
  <si>
    <t>20:48:06</t>
  </si>
  <si>
    <t>20:48:07</t>
  </si>
  <si>
    <t>20:48:08</t>
  </si>
  <si>
    <t>20:48:09</t>
  </si>
  <si>
    <t>20:48:10</t>
  </si>
  <si>
    <t>20:48:11</t>
  </si>
  <si>
    <t>20:48:12</t>
  </si>
  <si>
    <t>20:48:13</t>
  </si>
  <si>
    <t>20:48:14</t>
  </si>
  <si>
    <t>20:48:15</t>
  </si>
  <si>
    <t>20:48:16</t>
  </si>
  <si>
    <t>20:48:17</t>
  </si>
  <si>
    <t>20:48:18</t>
  </si>
  <si>
    <t>20:48:19</t>
  </si>
  <si>
    <t>20:48:20</t>
  </si>
  <si>
    <t>20:48:21</t>
  </si>
  <si>
    <t>20:48:22</t>
  </si>
  <si>
    <t>20:48:23</t>
  </si>
  <si>
    <t>20:48:24</t>
  </si>
  <si>
    <t>20:48:25</t>
  </si>
  <si>
    <t xml:space="preserve">        EVENTO</t>
  </si>
  <si>
    <r>
      <t xml:space="preserve"> </t>
    </r>
    <r>
      <rPr>
        <b/>
        <sz val="10"/>
        <color rgb="FF000000"/>
        <rFont val="Arial"/>
        <family val="2"/>
      </rPr>
      <t xml:space="preserve">        EVENTO</t>
    </r>
  </si>
  <si>
    <t>Fallo de la conexión</t>
  </si>
  <si>
    <t>VERSION CORREGIDA CON LA CONDICION DE ENVIO EXITOSO</t>
  </si>
  <si>
    <t>0.047s | frame_captured</t>
  </si>
  <si>
    <t>0.104s | blobs_found=0</t>
  </si>
  <si>
    <t>0.106s | reference_updated</t>
  </si>
  <si>
    <t>15.106s | loop_start</t>
  </si>
  <si>
    <t>15.109s | frame_captured</t>
  </si>
  <si>
    <t>15.175s | blobs_found=14</t>
  </si>
  <si>
    <t>15.175s | running_inference</t>
  </si>
  <si>
    <t>15.278s | egg_detected</t>
  </si>
  <si>
    <t>El centro del objeto detectado y el centro del blob NO coinciden</t>
  </si>
  <si>
    <t>15.278s | object_blob_mismatch</t>
  </si>
  <si>
    <t>15.279s | object_blob_mismatch</t>
  </si>
  <si>
    <t>15.279s | new_object_confirmed</t>
  </si>
  <si>
    <t>Objetos ya contados anteriormente: [(160, 160)]</t>
  </si>
  <si>
    <t>15.279s | object_counted total=1</t>
  </si>
  <si>
    <t>15.282s | object_blob_mismatch</t>
  </si>
  <si>
    <t>15.282s | new_object_confirmed</t>
  </si>
  <si>
    <t>15.283s | already_counted</t>
  </si>
  <si>
    <t>15.297s | object_blob_mismatch</t>
  </si>
  <si>
    <t>15.310s | object_blob_mismatch</t>
  </si>
  <si>
    <t>15.323s | reference_updated</t>
  </si>
  <si>
    <t>30.329s | loop_start</t>
  </si>
  <si>
    <t>30.333s | frame_captured</t>
  </si>
  <si>
    <t>30.394s | blobs_found=5</t>
  </si>
  <si>
    <t>30.394s | running_inference</t>
  </si>
  <si>
    <t>30.497s | cesta_vacia_reboot</t>
  </si>
  <si>
    <t>30.503s | send_lora_start total=1</t>
  </si>
  <si>
    <t>30.511s | lora_join_start</t>
  </si>
  <si>
    <t>Error LoRa: Command "+JOIN" has failed!</t>
  </si>
  <si>
    <t>90.569s | lora_error Command "+JOIN" has failed!</t>
  </si>
  <si>
    <t>!!!AVISO!!! No se reinicia el contador porque LoRa no confirmó el envío</t>
  </si>
  <si>
    <t>90.569s | counter_not_reset_lora_failed</t>
  </si>
  <si>
    <t>90.571s | reference_updated</t>
  </si>
  <si>
    <t>PROMEDIO</t>
  </si>
  <si>
    <t>Arranque del programa</t>
  </si>
  <si>
    <t>Conexión LoRaWAN y Envio de datos al servidor TTN</t>
  </si>
  <si>
    <t xml:space="preserve">Otro </t>
  </si>
  <si>
    <t>Maximo</t>
  </si>
  <si>
    <t>Minimo</t>
  </si>
  <si>
    <t>FIN</t>
  </si>
  <si>
    <t>DURACION</t>
  </si>
  <si>
    <t>Consumo de otroas tareas</t>
  </si>
  <si>
    <t>Promedio consumo conexión LoRa en el caso de fallo</t>
  </si>
  <si>
    <t>11seg duración</t>
  </si>
  <si>
    <t>Otras tareas y reposo</t>
  </si>
  <si>
    <t>Máximo</t>
  </si>
  <si>
    <t>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</si>
</sst>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000000"/>
      <name val="宋体"/>
    </font>
    <font>
      <b/>
      <sz val="10"/>
      <color rgb="FF008000"/>
      <name val="宋体"/>
    </font>
    <font>
      <b/>
      <sz val="10"/>
      <color rgb="FF0000FF"/>
      <name val="宋体"/>
    </font>
    <font>
      <sz val="10"/>
      <color rgb="FF000000"/>
      <name val="Arial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" fillId="0" borderId="0" xfId="0" applyFont="1"/>
    <xf numFmtId="0" fontId="4" fillId="4" borderId="0" xfId="0" applyFont="1" applyFill="1"/>
    <xf numFmtId="0" fontId="6" fillId="4" borderId="0" xfId="0" applyFont="1" applyFill="1"/>
    <xf numFmtId="0" fontId="5" fillId="5" borderId="0" xfId="0" applyFont="1" applyFill="1"/>
    <xf numFmtId="0" fontId="7" fillId="0" borderId="0" xfId="0" applyFont="1"/>
    <xf numFmtId="0" fontId="6" fillId="0" borderId="0" xfId="0" applyFont="1"/>
    <xf numFmtId="0" fontId="9" fillId="6" borderId="0" xfId="0" applyFont="1" applyFill="1" applyAlignment="1">
      <alignment horizontal="center" wrapText="1"/>
    </xf>
    <xf numFmtId="0" fontId="0" fillId="4" borderId="0" xfId="0" applyFill="1"/>
    <xf numFmtId="0" fontId="9" fillId="2" borderId="0" xfId="0" applyFont="1" applyFill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23" zoomScale="80" workbookViewId="0">
      <selection activeCell="I3" sqref="I3:I12"/>
    </sheetView>
  </sheetViews>
  <sheetFormatPr baseColWidth="10" defaultColWidth="8.88671875" defaultRowHeight="14.4"/>
  <cols>
    <col min="6" max="6" width="10.6640625" customWidth="1"/>
    <col min="7" max="7" width="21.33203125" customWidth="1"/>
    <col min="8" max="8" width="21.21875" customWidth="1"/>
    <col min="9" max="9" width="45.5546875" customWidth="1"/>
  </cols>
  <sheetData>
    <row r="1" spans="1:10" ht="15" thickBot="1">
      <c r="A1" s="13" t="s">
        <v>0</v>
      </c>
      <c r="B1" s="14"/>
      <c r="C1" s="14"/>
      <c r="D1" s="14"/>
      <c r="E1" s="14"/>
      <c r="F1" s="14"/>
      <c r="G1" s="14"/>
      <c r="H1" s="15"/>
    </row>
    <row r="2" spans="1:10" ht="26.4" thickBot="1">
      <c r="A2" s="1" t="s">
        <v>1</v>
      </c>
      <c r="B2" s="2" t="s">
        <v>2</v>
      </c>
      <c r="C2" s="3" t="s">
        <v>3</v>
      </c>
      <c r="D2" s="1" t="s">
        <v>4</v>
      </c>
      <c r="E2" s="1" t="s">
        <v>5</v>
      </c>
      <c r="F2" s="1" t="s">
        <v>6</v>
      </c>
      <c r="G2" s="7" t="s">
        <v>334</v>
      </c>
      <c r="H2" s="12" t="s">
        <v>377</v>
      </c>
      <c r="I2" s="10" t="s">
        <v>370</v>
      </c>
      <c r="J2" t="s">
        <v>43</v>
      </c>
    </row>
    <row r="3" spans="1:10">
      <c r="A3" s="4" t="s">
        <v>7</v>
      </c>
      <c r="B3" s="4">
        <v>5.0789999999999997</v>
      </c>
      <c r="C3" s="4">
        <v>0.11</v>
      </c>
      <c r="D3" s="4">
        <v>0.04</v>
      </c>
      <c r="E3" s="4">
        <v>0.03</v>
      </c>
      <c r="F3" s="4" t="s">
        <v>8</v>
      </c>
      <c r="G3" s="4"/>
      <c r="H3" s="4">
        <v>2</v>
      </c>
      <c r="I3" t="s">
        <v>371</v>
      </c>
      <c r="J3" t="s">
        <v>44</v>
      </c>
    </row>
    <row r="4" spans="1:10">
      <c r="A4" s="4" t="s">
        <v>9</v>
      </c>
      <c r="B4" s="4">
        <v>5.0789999999999997</v>
      </c>
      <c r="C4" s="4">
        <v>0.11</v>
      </c>
      <c r="D4" s="4">
        <v>0.04</v>
      </c>
      <c r="E4" s="4">
        <v>0.03</v>
      </c>
      <c r="F4" s="4" t="s">
        <v>8</v>
      </c>
      <c r="G4" s="4"/>
      <c r="H4" s="4"/>
      <c r="I4">
        <f>AVERAGE(C7:C8)</f>
        <v>0.1178</v>
      </c>
      <c r="J4" t="s">
        <v>45</v>
      </c>
    </row>
    <row r="5" spans="1:10">
      <c r="A5" s="4" t="s">
        <v>10</v>
      </c>
      <c r="B5" s="4">
        <v>5.0789999999999997</v>
      </c>
      <c r="C5" s="4">
        <v>0.11</v>
      </c>
      <c r="D5" s="4">
        <v>0.04</v>
      </c>
      <c r="E5" s="4">
        <v>0.03</v>
      </c>
      <c r="F5" s="4" t="s">
        <v>8</v>
      </c>
      <c r="G5" s="4"/>
      <c r="H5" s="4">
        <v>8</v>
      </c>
      <c r="I5" t="s">
        <v>372</v>
      </c>
      <c r="J5" t="s">
        <v>46</v>
      </c>
    </row>
    <row r="6" spans="1:10">
      <c r="A6" s="4" t="s">
        <v>11</v>
      </c>
      <c r="B6" s="4">
        <v>5.0780000000000003</v>
      </c>
      <c r="C6" s="4">
        <v>0.11</v>
      </c>
      <c r="D6" s="4">
        <v>0.04</v>
      </c>
      <c r="E6" s="4">
        <v>0.04</v>
      </c>
      <c r="F6" s="4" t="s">
        <v>8</v>
      </c>
      <c r="G6" s="4"/>
      <c r="H6" s="4"/>
      <c r="I6">
        <f>AVERAGE(C21:C26,C29:C30)</f>
        <v>0.14570000000000002</v>
      </c>
      <c r="J6" t="s">
        <v>47</v>
      </c>
    </row>
    <row r="7" spans="1:10">
      <c r="A7" s="5" t="s">
        <v>12</v>
      </c>
      <c r="B7" s="5">
        <v>5.0780000000000003</v>
      </c>
      <c r="C7" s="5">
        <v>0.1168</v>
      </c>
      <c r="D7" s="5">
        <v>0.04</v>
      </c>
      <c r="E7" s="5">
        <v>0.03</v>
      </c>
      <c r="F7" s="5" t="s">
        <v>8</v>
      </c>
      <c r="G7" s="5" t="s">
        <v>222</v>
      </c>
      <c r="H7" s="4"/>
      <c r="I7" t="s">
        <v>381</v>
      </c>
      <c r="J7" t="s">
        <v>48</v>
      </c>
    </row>
    <row r="8" spans="1:10">
      <c r="A8" s="5" t="s">
        <v>13</v>
      </c>
      <c r="B8" s="5">
        <v>5.0780000000000003</v>
      </c>
      <c r="C8" s="5">
        <v>0.1188</v>
      </c>
      <c r="D8" s="5">
        <v>0.04</v>
      </c>
      <c r="E8" s="5">
        <v>0.03</v>
      </c>
      <c r="F8" s="5" t="s">
        <v>8</v>
      </c>
      <c r="G8" s="5"/>
      <c r="H8" s="4">
        <f>31-H3-H5</f>
        <v>21</v>
      </c>
      <c r="I8">
        <f>AVERAGE(C9:C11,C12:C20,C27:C28,C31:C37)</f>
        <v>0.11351428571428573</v>
      </c>
    </row>
    <row r="9" spans="1:10">
      <c r="A9" s="4" t="s">
        <v>14</v>
      </c>
      <c r="B9" s="4">
        <v>5.077</v>
      </c>
      <c r="C9" s="4">
        <v>0.1129</v>
      </c>
      <c r="D9" s="4">
        <v>0.04</v>
      </c>
      <c r="E9" s="4">
        <v>0.03</v>
      </c>
      <c r="F9" s="4" t="s">
        <v>8</v>
      </c>
      <c r="G9" s="4"/>
      <c r="H9" s="4"/>
      <c r="I9" t="s">
        <v>382</v>
      </c>
      <c r="J9" t="s">
        <v>49</v>
      </c>
    </row>
    <row r="10" spans="1:10">
      <c r="A10" s="4" t="s">
        <v>15</v>
      </c>
      <c r="B10" s="4">
        <v>5.077</v>
      </c>
      <c r="C10" s="4">
        <v>0.1129</v>
      </c>
      <c r="D10" s="4">
        <v>0.04</v>
      </c>
      <c r="E10" s="4">
        <v>0.03</v>
      </c>
      <c r="F10" s="4" t="s">
        <v>8</v>
      </c>
      <c r="G10" s="4"/>
      <c r="H10" s="4"/>
      <c r="I10">
        <f>C21</f>
        <v>0.15440000000000001</v>
      </c>
      <c r="J10" t="s">
        <v>50</v>
      </c>
    </row>
    <row r="11" spans="1:10">
      <c r="A11" s="4" t="s">
        <v>16</v>
      </c>
      <c r="B11" s="4">
        <v>5.0789999999999997</v>
      </c>
      <c r="C11" s="4">
        <v>0.1129</v>
      </c>
      <c r="D11" s="4">
        <v>0.04</v>
      </c>
      <c r="E11" s="4">
        <v>0.03</v>
      </c>
      <c r="F11" s="4" t="s">
        <v>8</v>
      </c>
      <c r="G11" s="4"/>
      <c r="H11" s="4"/>
      <c r="I11" t="s">
        <v>383</v>
      </c>
      <c r="J11" t="s">
        <v>51</v>
      </c>
    </row>
    <row r="12" spans="1:10">
      <c r="A12" s="5" t="s">
        <v>17</v>
      </c>
      <c r="B12" s="5">
        <v>5.0789999999999997</v>
      </c>
      <c r="C12" s="5">
        <v>0.1128</v>
      </c>
      <c r="D12" s="5">
        <v>0.04</v>
      </c>
      <c r="E12" s="5">
        <v>0.03</v>
      </c>
      <c r="F12" s="5" t="s">
        <v>8</v>
      </c>
      <c r="G12" s="5" t="s">
        <v>223</v>
      </c>
      <c r="H12" s="4"/>
      <c r="I12">
        <f>C14</f>
        <v>0.11269999999999999</v>
      </c>
      <c r="J12" t="s">
        <v>52</v>
      </c>
    </row>
    <row r="13" spans="1:10">
      <c r="A13" s="5" t="s">
        <v>18</v>
      </c>
      <c r="B13" s="5">
        <v>5.0789999999999997</v>
      </c>
      <c r="C13" s="5">
        <v>0.1128</v>
      </c>
      <c r="D13" s="5">
        <v>0.03</v>
      </c>
      <c r="E13" s="5">
        <v>0.03</v>
      </c>
      <c r="F13" s="5" t="s">
        <v>8</v>
      </c>
      <c r="G13" s="5"/>
      <c r="H13" s="4"/>
      <c r="J13" t="s">
        <v>53</v>
      </c>
    </row>
    <row r="14" spans="1:10">
      <c r="A14" s="4" t="s">
        <v>19</v>
      </c>
      <c r="B14" s="4">
        <v>5.0789999999999997</v>
      </c>
      <c r="C14" s="4">
        <v>0.11269999999999999</v>
      </c>
      <c r="D14" s="4">
        <v>0.03</v>
      </c>
      <c r="E14" s="4">
        <v>0.03</v>
      </c>
      <c r="F14" s="4" t="s">
        <v>8</v>
      </c>
      <c r="G14" s="4"/>
      <c r="H14" s="4"/>
      <c r="J14" t="s">
        <v>54</v>
      </c>
    </row>
    <row r="15" spans="1:10">
      <c r="A15" s="4" t="s">
        <v>20</v>
      </c>
      <c r="B15" s="4">
        <v>5.0750000000000002</v>
      </c>
      <c r="C15" s="4">
        <v>0.11269999999999999</v>
      </c>
      <c r="D15" s="4">
        <v>0.03</v>
      </c>
      <c r="E15" s="4">
        <v>0.03</v>
      </c>
      <c r="F15" s="4" t="s">
        <v>8</v>
      </c>
      <c r="G15" s="4"/>
      <c r="H15" s="4"/>
      <c r="J15" t="s">
        <v>55</v>
      </c>
    </row>
    <row r="16" spans="1:10">
      <c r="A16" s="4" t="s">
        <v>21</v>
      </c>
      <c r="B16" s="4">
        <v>5.0789999999999997</v>
      </c>
      <c r="C16" s="4">
        <v>0.1128</v>
      </c>
      <c r="D16" s="4">
        <v>0.03</v>
      </c>
      <c r="E16" s="4">
        <v>0.03</v>
      </c>
      <c r="F16" s="4" t="s">
        <v>8</v>
      </c>
      <c r="G16" s="4"/>
      <c r="H16" s="4"/>
    </row>
    <row r="17" spans="1:10">
      <c r="A17" s="4" t="s">
        <v>22</v>
      </c>
      <c r="B17" s="4">
        <v>5.0789999999999997</v>
      </c>
      <c r="C17" s="4">
        <v>0.1128</v>
      </c>
      <c r="D17" s="4">
        <v>0.03</v>
      </c>
      <c r="E17" s="4">
        <v>0.03</v>
      </c>
      <c r="F17" s="4" t="s">
        <v>8</v>
      </c>
      <c r="G17" s="4"/>
      <c r="H17" s="4"/>
      <c r="J17" t="s">
        <v>49</v>
      </c>
    </row>
    <row r="18" spans="1:10">
      <c r="A18" s="4" t="s">
        <v>23</v>
      </c>
      <c r="B18" s="4">
        <v>5.0789999999999997</v>
      </c>
      <c r="C18" s="4">
        <v>0.1128</v>
      </c>
      <c r="D18" s="4">
        <v>0.03</v>
      </c>
      <c r="E18" s="4">
        <v>0.03</v>
      </c>
      <c r="F18" s="4" t="s">
        <v>8</v>
      </c>
      <c r="G18" s="4"/>
      <c r="H18" s="4"/>
      <c r="J18" t="s">
        <v>56</v>
      </c>
    </row>
    <row r="19" spans="1:10">
      <c r="A19" s="4" t="s">
        <v>24</v>
      </c>
      <c r="B19" s="4">
        <v>5.0789999999999997</v>
      </c>
      <c r="C19" s="4">
        <v>0.1128</v>
      </c>
      <c r="D19" s="4">
        <v>0.03</v>
      </c>
      <c r="E19" s="4">
        <v>0.03</v>
      </c>
      <c r="F19" s="4" t="s">
        <v>8</v>
      </c>
      <c r="G19" s="4"/>
      <c r="H19" s="4"/>
      <c r="J19" t="s">
        <v>57</v>
      </c>
    </row>
    <row r="20" spans="1:10">
      <c r="A20" s="4" t="s">
        <v>25</v>
      </c>
      <c r="B20" s="4">
        <v>5.0780000000000003</v>
      </c>
      <c r="C20" s="4">
        <v>0.1128</v>
      </c>
      <c r="D20" s="4">
        <v>0.04</v>
      </c>
      <c r="E20" s="4">
        <v>0.03</v>
      </c>
      <c r="F20" s="4" t="s">
        <v>8</v>
      </c>
      <c r="G20" s="4"/>
      <c r="H20" s="4"/>
      <c r="J20" t="s">
        <v>52</v>
      </c>
    </row>
    <row r="21" spans="1:10">
      <c r="A21" s="5" t="s">
        <v>26</v>
      </c>
      <c r="B21" s="5">
        <v>5.0739999999999998</v>
      </c>
      <c r="C21" s="5">
        <v>0.15440000000000001</v>
      </c>
      <c r="D21" s="5">
        <v>0.03</v>
      </c>
      <c r="E21" s="5">
        <v>0.03</v>
      </c>
      <c r="F21" s="5" t="s">
        <v>8</v>
      </c>
      <c r="G21" s="6" t="s">
        <v>226</v>
      </c>
      <c r="H21" s="4"/>
      <c r="J21" t="s">
        <v>58</v>
      </c>
    </row>
    <row r="22" spans="1:10">
      <c r="A22" s="5" t="s">
        <v>27</v>
      </c>
      <c r="B22" s="5">
        <v>5.0739999999999998</v>
      </c>
      <c r="C22" s="5">
        <v>0.1532</v>
      </c>
      <c r="D22" s="5">
        <v>0.03</v>
      </c>
      <c r="E22" s="5">
        <v>0.03</v>
      </c>
      <c r="F22" s="5" t="s">
        <v>8</v>
      </c>
      <c r="G22" s="6" t="s">
        <v>227</v>
      </c>
      <c r="H22" s="4"/>
      <c r="J22" t="s">
        <v>59</v>
      </c>
    </row>
    <row r="23" spans="1:10">
      <c r="A23" s="5" t="s">
        <v>28</v>
      </c>
      <c r="B23" s="5">
        <v>5.0739999999999998</v>
      </c>
      <c r="C23" s="5">
        <v>0.15329999999999999</v>
      </c>
      <c r="D23" s="5">
        <v>0.03</v>
      </c>
      <c r="E23" s="5">
        <v>0.03</v>
      </c>
      <c r="F23" s="5" t="s">
        <v>8</v>
      </c>
      <c r="G23" s="6" t="s">
        <v>228</v>
      </c>
      <c r="H23" s="4"/>
      <c r="J23" t="s">
        <v>60</v>
      </c>
    </row>
    <row r="24" spans="1:10">
      <c r="A24" s="5" t="s">
        <v>29</v>
      </c>
      <c r="B24" s="5">
        <v>5.0739999999999998</v>
      </c>
      <c r="C24" s="5">
        <v>0.1532</v>
      </c>
      <c r="D24" s="5">
        <v>0.03</v>
      </c>
      <c r="E24" s="5">
        <v>0.03</v>
      </c>
      <c r="F24" s="5" t="s">
        <v>8</v>
      </c>
      <c r="G24" s="6" t="s">
        <v>224</v>
      </c>
      <c r="H24" s="4"/>
      <c r="J24" t="s">
        <v>61</v>
      </c>
    </row>
    <row r="25" spans="1:10">
      <c r="A25" s="5" t="s">
        <v>30</v>
      </c>
      <c r="B25" s="5">
        <v>5.0739999999999998</v>
      </c>
      <c r="C25" s="5">
        <v>0.1532</v>
      </c>
      <c r="D25" s="5">
        <v>0.03</v>
      </c>
      <c r="E25" s="5">
        <v>0.03</v>
      </c>
      <c r="F25" s="5" t="s">
        <v>8</v>
      </c>
      <c r="G25" s="6" t="s">
        <v>225</v>
      </c>
      <c r="H25" s="4"/>
      <c r="J25" t="s">
        <v>62</v>
      </c>
    </row>
    <row r="26" spans="1:10">
      <c r="A26" s="5" t="s">
        <v>31</v>
      </c>
      <c r="B26" s="5">
        <v>5.0789999999999997</v>
      </c>
      <c r="C26" s="5">
        <v>0.13370000000000001</v>
      </c>
      <c r="D26" s="5">
        <v>0.03</v>
      </c>
      <c r="E26" s="5">
        <v>0.03</v>
      </c>
      <c r="F26" s="5" t="s">
        <v>8</v>
      </c>
      <c r="G26" s="5"/>
      <c r="H26" s="4"/>
      <c r="J26" t="s">
        <v>63</v>
      </c>
    </row>
    <row r="27" spans="1:10">
      <c r="A27" s="4" t="s">
        <v>32</v>
      </c>
      <c r="B27" s="4">
        <v>5.0789999999999997</v>
      </c>
      <c r="C27" s="4">
        <v>0.11310000000000001</v>
      </c>
      <c r="D27" s="4">
        <v>0.03</v>
      </c>
      <c r="E27" s="4">
        <v>0.03</v>
      </c>
      <c r="F27" s="4" t="s">
        <v>8</v>
      </c>
      <c r="G27" s="4"/>
      <c r="H27" s="4"/>
      <c r="J27" t="s">
        <v>64</v>
      </c>
    </row>
    <row r="28" spans="1:10">
      <c r="A28" s="4" t="s">
        <v>33</v>
      </c>
      <c r="B28" s="4">
        <v>5.0789999999999997</v>
      </c>
      <c r="C28" s="4">
        <v>0.11310000000000001</v>
      </c>
      <c r="D28" s="4">
        <v>0.03</v>
      </c>
      <c r="E28" s="4">
        <v>0.03</v>
      </c>
      <c r="F28" s="4" t="s">
        <v>8</v>
      </c>
      <c r="G28" s="4"/>
      <c r="H28" s="4"/>
      <c r="J28" t="s">
        <v>65</v>
      </c>
    </row>
    <row r="29" spans="1:10">
      <c r="A29" s="5" t="s">
        <v>34</v>
      </c>
      <c r="B29" s="5">
        <v>5.0759999999999996</v>
      </c>
      <c r="C29" s="5">
        <v>0.1323</v>
      </c>
      <c r="D29" s="5">
        <v>0.03</v>
      </c>
      <c r="E29" s="5">
        <v>0.03</v>
      </c>
      <c r="F29" s="5" t="s">
        <v>8</v>
      </c>
      <c r="G29" s="5"/>
      <c r="H29" s="4"/>
      <c r="J29" t="s">
        <v>66</v>
      </c>
    </row>
    <row r="30" spans="1:10">
      <c r="A30" s="5" t="s">
        <v>35</v>
      </c>
      <c r="B30" s="5">
        <v>5.077</v>
      </c>
      <c r="C30" s="5">
        <v>0.1323</v>
      </c>
      <c r="D30" s="5">
        <v>0.03</v>
      </c>
      <c r="E30" s="5">
        <v>0.03</v>
      </c>
      <c r="F30" s="5" t="s">
        <v>8</v>
      </c>
      <c r="G30" s="5"/>
      <c r="H30" s="4"/>
      <c r="J30" t="s">
        <v>67</v>
      </c>
    </row>
    <row r="31" spans="1:10">
      <c r="A31" s="4" t="s">
        <v>36</v>
      </c>
      <c r="B31" s="4">
        <v>5.0789999999999997</v>
      </c>
      <c r="C31" s="4">
        <v>0.1129</v>
      </c>
      <c r="D31" s="4">
        <v>0.03</v>
      </c>
      <c r="E31" s="4">
        <v>0.03</v>
      </c>
      <c r="F31" s="4" t="s">
        <v>8</v>
      </c>
      <c r="G31" s="4"/>
      <c r="H31" s="4"/>
      <c r="J31" t="s">
        <v>63</v>
      </c>
    </row>
    <row r="32" spans="1:10">
      <c r="A32" s="4" t="s">
        <v>37</v>
      </c>
      <c r="B32" s="4">
        <v>5.0789999999999997</v>
      </c>
      <c r="C32" s="4">
        <v>0.1129</v>
      </c>
      <c r="D32" s="4">
        <v>0.03</v>
      </c>
      <c r="E32" s="4">
        <v>0.03</v>
      </c>
      <c r="F32" s="4" t="s">
        <v>8</v>
      </c>
      <c r="G32" s="4"/>
      <c r="H32" s="4"/>
      <c r="J32" t="s">
        <v>68</v>
      </c>
    </row>
    <row r="33" spans="1:10">
      <c r="A33" s="4" t="s">
        <v>38</v>
      </c>
      <c r="B33" s="4">
        <v>5.0789999999999997</v>
      </c>
      <c r="C33" s="4">
        <v>0.113</v>
      </c>
      <c r="D33" s="4">
        <v>0.03</v>
      </c>
      <c r="E33" s="4">
        <v>0.03</v>
      </c>
      <c r="F33" s="4" t="s">
        <v>8</v>
      </c>
      <c r="G33" s="4"/>
      <c r="H33" s="4"/>
      <c r="J33" t="s">
        <v>69</v>
      </c>
    </row>
    <row r="34" spans="1:10">
      <c r="A34" s="4" t="s">
        <v>39</v>
      </c>
      <c r="B34" s="4">
        <v>5.0780000000000003</v>
      </c>
      <c r="C34" s="4">
        <v>0.113</v>
      </c>
      <c r="D34" s="4">
        <v>0.03</v>
      </c>
      <c r="E34" s="4">
        <v>0.03</v>
      </c>
      <c r="F34" s="4" t="s">
        <v>8</v>
      </c>
      <c r="G34" s="4"/>
      <c r="H34" s="4"/>
      <c r="J34" t="s">
        <v>70</v>
      </c>
    </row>
    <row r="35" spans="1:10">
      <c r="A35" s="4" t="s">
        <v>40</v>
      </c>
      <c r="B35" s="4">
        <v>5.0780000000000003</v>
      </c>
      <c r="C35" s="4">
        <v>0.113</v>
      </c>
      <c r="D35" s="4">
        <v>0.03</v>
      </c>
      <c r="E35" s="4">
        <v>0.03</v>
      </c>
      <c r="F35" s="4" t="s">
        <v>8</v>
      </c>
      <c r="G35" s="4"/>
      <c r="H35" s="4"/>
      <c r="J35" t="s">
        <v>54</v>
      </c>
    </row>
    <row r="36" spans="1:10">
      <c r="A36" s="4" t="s">
        <v>41</v>
      </c>
      <c r="B36" s="4">
        <v>5.077</v>
      </c>
      <c r="C36" s="4">
        <v>0.1225</v>
      </c>
      <c r="D36" s="4">
        <v>0.03</v>
      </c>
      <c r="E36" s="4">
        <v>0.03</v>
      </c>
      <c r="F36" s="4" t="s">
        <v>8</v>
      </c>
      <c r="G36" s="4"/>
      <c r="H36" s="4"/>
      <c r="J36" t="s">
        <v>71</v>
      </c>
    </row>
    <row r="37" spans="1:10">
      <c r="A37" s="4" t="s">
        <v>42</v>
      </c>
      <c r="B37" s="4">
        <v>5.077</v>
      </c>
      <c r="C37" s="4">
        <v>0.1166</v>
      </c>
      <c r="D37" s="4">
        <v>0.03</v>
      </c>
      <c r="E37" s="4">
        <v>0.03</v>
      </c>
      <c r="F37" s="4" t="s">
        <v>8</v>
      </c>
      <c r="G37" s="9" t="s">
        <v>376</v>
      </c>
      <c r="H37" s="4"/>
    </row>
    <row r="38" spans="1:10">
      <c r="J38" t="s">
        <v>49</v>
      </c>
    </row>
    <row r="39" spans="1:10">
      <c r="J39" t="s">
        <v>72</v>
      </c>
    </row>
    <row r="40" spans="1:10">
      <c r="J40" t="s">
        <v>73</v>
      </c>
    </row>
    <row r="41" spans="1:10">
      <c r="J41" t="s">
        <v>52</v>
      </c>
    </row>
    <row r="42" spans="1:10">
      <c r="J42" t="s">
        <v>74</v>
      </c>
    </row>
    <row r="43" spans="1:10">
      <c r="J43" t="s">
        <v>59</v>
      </c>
    </row>
    <row r="44" spans="1:10">
      <c r="J44" t="s">
        <v>75</v>
      </c>
    </row>
    <row r="45" spans="1:10">
      <c r="J45" t="s">
        <v>76</v>
      </c>
    </row>
    <row r="46" spans="1:10">
      <c r="J46" t="s">
        <v>77</v>
      </c>
    </row>
    <row r="47" spans="1:10">
      <c r="J47" t="s">
        <v>78</v>
      </c>
    </row>
    <row r="48" spans="1:10">
      <c r="J48" t="s">
        <v>79</v>
      </c>
    </row>
    <row r="49" spans="10:10">
      <c r="J49" t="s">
        <v>80</v>
      </c>
    </row>
    <row r="50" spans="10:10">
      <c r="J50" t="s">
        <v>81</v>
      </c>
    </row>
    <row r="51" spans="10:10">
      <c r="J51" t="s">
        <v>82</v>
      </c>
    </row>
    <row r="52" spans="10:10">
      <c r="J52" t="s">
        <v>83</v>
      </c>
    </row>
    <row r="53" spans="10:10">
      <c r="J53" t="s">
        <v>84</v>
      </c>
    </row>
    <row r="54" spans="10:10">
      <c r="J54" t="s">
        <v>85</v>
      </c>
    </row>
    <row r="55" spans="10:10">
      <c r="J55" t="s">
        <v>86</v>
      </c>
    </row>
    <row r="56" spans="10:10">
      <c r="J56" t="s">
        <v>87</v>
      </c>
    </row>
    <row r="57" spans="10:10">
      <c r="J57" t="s">
        <v>54</v>
      </c>
    </row>
    <row r="58" spans="10:10">
      <c r="J58" t="s">
        <v>88</v>
      </c>
    </row>
    <row r="60" spans="10:10">
      <c r="J60" t="s">
        <v>49</v>
      </c>
    </row>
    <row r="61" spans="10:10">
      <c r="J61" t="s">
        <v>89</v>
      </c>
    </row>
    <row r="62" spans="10:10">
      <c r="J62" t="s">
        <v>90</v>
      </c>
    </row>
    <row r="63" spans="10:10">
      <c r="J63" t="s">
        <v>52</v>
      </c>
    </row>
    <row r="64" spans="10:10">
      <c r="J64" t="s">
        <v>91</v>
      </c>
    </row>
    <row r="65" spans="10:10">
      <c r="J65" t="s">
        <v>54</v>
      </c>
    </row>
    <row r="66" spans="10:10">
      <c r="J66" t="s">
        <v>92</v>
      </c>
    </row>
    <row r="68" spans="10:10">
      <c r="J68" t="s">
        <v>93</v>
      </c>
    </row>
    <row r="69" spans="10:10">
      <c r="J69" t="s">
        <v>94</v>
      </c>
    </row>
    <row r="70" spans="10:10">
      <c r="J70" t="s">
        <v>95</v>
      </c>
    </row>
    <row r="71" spans="10:10">
      <c r="J71" t="s">
        <v>96</v>
      </c>
    </row>
    <row r="72" spans="10:10">
      <c r="J72" t="s">
        <v>97</v>
      </c>
    </row>
  </sheetData>
  <mergeCells count="1">
    <mergeCell ref="A1:H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931F-90A6-4B20-AF0B-4196D4093641}">
  <dimension ref="A1:K67"/>
  <sheetViews>
    <sheetView workbookViewId="0">
      <selection activeCell="J6" sqref="J6"/>
    </sheetView>
  </sheetViews>
  <sheetFormatPr baseColWidth="10" defaultRowHeight="14.4"/>
  <cols>
    <col min="7" max="7" width="20.33203125" customWidth="1"/>
    <col min="8" max="8" width="0.5546875" customWidth="1"/>
    <col min="9" max="9" width="16" customWidth="1"/>
    <col min="10" max="10" width="33.33203125" customWidth="1"/>
  </cols>
  <sheetData>
    <row r="1" spans="1:11" ht="15" thickBot="1">
      <c r="A1" s="13" t="s">
        <v>0</v>
      </c>
      <c r="B1" s="14"/>
      <c r="C1" s="14"/>
      <c r="D1" s="14"/>
      <c r="E1" s="14"/>
      <c r="F1" s="14"/>
      <c r="G1" s="14"/>
      <c r="H1" s="15"/>
      <c r="I1" s="12" t="s">
        <v>377</v>
      </c>
      <c r="J1" s="10" t="s">
        <v>370</v>
      </c>
      <c r="K1" t="s">
        <v>43</v>
      </c>
    </row>
    <row r="2" spans="1:11" ht="26.4" thickBot="1">
      <c r="A2" s="1" t="s">
        <v>1</v>
      </c>
      <c r="B2" s="2" t="s">
        <v>2</v>
      </c>
      <c r="C2" s="3" t="s">
        <v>3</v>
      </c>
      <c r="D2" s="1" t="s">
        <v>4</v>
      </c>
      <c r="E2" s="1" t="s">
        <v>5</v>
      </c>
      <c r="F2" s="1" t="s">
        <v>6</v>
      </c>
      <c r="G2" s="7" t="s">
        <v>229</v>
      </c>
      <c r="H2" s="4"/>
      <c r="I2" s="4">
        <v>4</v>
      </c>
      <c r="J2" t="s">
        <v>371</v>
      </c>
      <c r="K2" t="s">
        <v>44</v>
      </c>
    </row>
    <row r="3" spans="1:11">
      <c r="A3" s="4" t="s">
        <v>98</v>
      </c>
      <c r="B3" s="4">
        <v>5.0810000000000004</v>
      </c>
      <c r="C3" s="4">
        <v>0.11</v>
      </c>
      <c r="D3" s="4">
        <v>0.04</v>
      </c>
      <c r="E3" s="4">
        <v>0.03</v>
      </c>
      <c r="F3" s="4" t="s">
        <v>8</v>
      </c>
      <c r="G3" s="4"/>
      <c r="H3" s="4"/>
      <c r="I3" s="4"/>
      <c r="J3">
        <f>AVERAGE(C5:C7)</f>
        <v>0.1176</v>
      </c>
      <c r="K3" t="s">
        <v>45</v>
      </c>
    </row>
    <row r="4" spans="1:11">
      <c r="A4" s="4" t="s">
        <v>99</v>
      </c>
      <c r="B4" s="4">
        <v>5.0810000000000004</v>
      </c>
      <c r="C4" s="4">
        <v>0.11</v>
      </c>
      <c r="D4" s="4">
        <v>0.04</v>
      </c>
      <c r="E4" s="4">
        <v>0.03</v>
      </c>
      <c r="F4" s="4" t="s">
        <v>8</v>
      </c>
      <c r="G4" s="4"/>
      <c r="H4" s="4"/>
      <c r="I4" s="4">
        <v>7</v>
      </c>
      <c r="J4" t="s">
        <v>372</v>
      </c>
      <c r="K4" t="s">
        <v>46</v>
      </c>
    </row>
    <row r="5" spans="1:11">
      <c r="A5" s="5" t="s">
        <v>100</v>
      </c>
      <c r="B5" s="5">
        <v>5.08</v>
      </c>
      <c r="C5" s="5">
        <v>0.1192</v>
      </c>
      <c r="D5" s="5">
        <v>0.04</v>
      </c>
      <c r="E5" s="5">
        <v>0.03</v>
      </c>
      <c r="F5" s="5" t="s">
        <v>8</v>
      </c>
      <c r="G5" s="5" t="s">
        <v>222</v>
      </c>
      <c r="H5" s="4"/>
      <c r="I5" s="4"/>
      <c r="J5">
        <f>AVERAGE(C20:C25,C29)</f>
        <v>0.14602857142857142</v>
      </c>
      <c r="K5" t="s">
        <v>47</v>
      </c>
    </row>
    <row r="6" spans="1:11">
      <c r="A6" s="5" t="s">
        <v>101</v>
      </c>
      <c r="B6" s="5">
        <v>5.08</v>
      </c>
      <c r="C6" s="5">
        <v>0.1168</v>
      </c>
      <c r="D6" s="5">
        <v>0.04</v>
      </c>
      <c r="E6" s="5">
        <v>0.03</v>
      </c>
      <c r="F6" s="5" t="s">
        <v>8</v>
      </c>
      <c r="G6" s="5"/>
      <c r="H6" s="4"/>
      <c r="I6" s="4"/>
      <c r="J6" t="s">
        <v>373</v>
      </c>
      <c r="K6" t="s">
        <v>48</v>
      </c>
    </row>
    <row r="7" spans="1:11">
      <c r="A7" s="5" t="s">
        <v>102</v>
      </c>
      <c r="B7" s="5">
        <v>5.08</v>
      </c>
      <c r="C7" s="5">
        <v>0.1168</v>
      </c>
      <c r="D7" s="5">
        <v>0.04</v>
      </c>
      <c r="E7" s="5">
        <v>0.03</v>
      </c>
      <c r="F7" s="5" t="s">
        <v>8</v>
      </c>
      <c r="G7" s="5"/>
      <c r="H7" s="4"/>
      <c r="I7" s="4">
        <f>31-I2-I4</f>
        <v>20</v>
      </c>
      <c r="J7">
        <f>AVERAGE(C9:C10,C11:C19,C26:C28,C30:C35)</f>
        <v>0.11336500000000001</v>
      </c>
    </row>
    <row r="8" spans="1:11">
      <c r="A8" s="5" t="s">
        <v>103</v>
      </c>
      <c r="B8" s="5">
        <v>5.0789999999999997</v>
      </c>
      <c r="C8" s="5">
        <v>0.1203</v>
      </c>
      <c r="D8" s="5">
        <v>0.04</v>
      </c>
      <c r="E8" s="5">
        <v>0.03</v>
      </c>
      <c r="F8" s="5" t="s">
        <v>8</v>
      </c>
      <c r="G8" s="4"/>
      <c r="H8" s="4"/>
      <c r="I8" s="4"/>
      <c r="J8" t="s">
        <v>374</v>
      </c>
      <c r="K8" t="s">
        <v>49</v>
      </c>
    </row>
    <row r="9" spans="1:11">
      <c r="A9" s="4" t="s">
        <v>104</v>
      </c>
      <c r="B9" s="4">
        <v>5.0789999999999997</v>
      </c>
      <c r="C9" s="4">
        <v>0.1129</v>
      </c>
      <c r="D9" s="4">
        <v>0.03</v>
      </c>
      <c r="E9" s="4">
        <v>0.03</v>
      </c>
      <c r="F9" s="4" t="s">
        <v>8</v>
      </c>
      <c r="G9" s="4"/>
      <c r="H9" s="4"/>
      <c r="I9" s="4"/>
      <c r="J9">
        <f>C20</f>
        <v>0.153</v>
      </c>
      <c r="K9" t="s">
        <v>50</v>
      </c>
    </row>
    <row r="10" spans="1:11">
      <c r="A10" s="5" t="s">
        <v>105</v>
      </c>
      <c r="B10" s="5">
        <v>5.08</v>
      </c>
      <c r="C10" s="5">
        <v>0.1129</v>
      </c>
      <c r="D10" s="5">
        <v>0.03</v>
      </c>
      <c r="E10" s="5">
        <v>0.03</v>
      </c>
      <c r="F10" s="5" t="s">
        <v>8</v>
      </c>
      <c r="G10" s="5" t="s">
        <v>223</v>
      </c>
      <c r="H10" s="4"/>
      <c r="I10" s="4"/>
      <c r="J10" t="s">
        <v>375</v>
      </c>
      <c r="K10" t="s">
        <v>51</v>
      </c>
    </row>
    <row r="11" spans="1:11">
      <c r="A11" s="5" t="s">
        <v>106</v>
      </c>
      <c r="B11" s="5">
        <v>5.08</v>
      </c>
      <c r="C11" s="5">
        <v>0.1128</v>
      </c>
      <c r="D11" s="5">
        <v>0.03</v>
      </c>
      <c r="E11" s="5">
        <v>0.03</v>
      </c>
      <c r="F11" s="5" t="s">
        <v>8</v>
      </c>
      <c r="G11" s="5"/>
      <c r="H11" s="4"/>
      <c r="I11" s="4"/>
      <c r="J11">
        <f>C13</f>
        <v>0.1128</v>
      </c>
      <c r="K11" t="s">
        <v>52</v>
      </c>
    </row>
    <row r="12" spans="1:11">
      <c r="A12" s="5" t="s">
        <v>107</v>
      </c>
      <c r="B12" s="5">
        <v>5.08</v>
      </c>
      <c r="C12" s="5">
        <v>0.1128</v>
      </c>
      <c r="D12" s="5">
        <v>0.03</v>
      </c>
      <c r="E12" s="5">
        <v>0.03</v>
      </c>
      <c r="F12" s="5" t="s">
        <v>8</v>
      </c>
      <c r="G12" s="5"/>
      <c r="H12" s="4"/>
      <c r="I12" s="4"/>
      <c r="K12" t="s">
        <v>53</v>
      </c>
    </row>
    <row r="13" spans="1:11">
      <c r="A13" s="5" t="s">
        <v>108</v>
      </c>
      <c r="B13" s="5">
        <v>5.08</v>
      </c>
      <c r="C13" s="5">
        <v>0.1128</v>
      </c>
      <c r="D13" s="5">
        <v>0.03</v>
      </c>
      <c r="E13" s="5">
        <v>0.03</v>
      </c>
      <c r="F13" s="5" t="s">
        <v>8</v>
      </c>
      <c r="G13" s="5"/>
      <c r="H13" s="4"/>
      <c r="I13" s="4"/>
      <c r="K13" t="s">
        <v>54</v>
      </c>
    </row>
    <row r="14" spans="1:11">
      <c r="A14" s="4" t="s">
        <v>109</v>
      </c>
      <c r="B14" s="4">
        <v>5.08</v>
      </c>
      <c r="C14" s="4">
        <v>0.11269999999999999</v>
      </c>
      <c r="D14" s="4">
        <v>0.04</v>
      </c>
      <c r="E14" s="4">
        <v>0.03</v>
      </c>
      <c r="F14" s="4" t="s">
        <v>8</v>
      </c>
      <c r="G14" s="4"/>
      <c r="H14" s="4"/>
      <c r="I14" s="4"/>
      <c r="K14" t="s">
        <v>55</v>
      </c>
    </row>
    <row r="15" spans="1:11">
      <c r="A15" s="4" t="s">
        <v>110</v>
      </c>
      <c r="B15" s="4">
        <v>5.077</v>
      </c>
      <c r="C15" s="4">
        <v>0.1128</v>
      </c>
      <c r="D15" s="4">
        <v>0.04</v>
      </c>
      <c r="E15" s="4">
        <v>0.03</v>
      </c>
      <c r="F15" s="4" t="s">
        <v>8</v>
      </c>
      <c r="G15" s="4"/>
      <c r="H15" s="4"/>
      <c r="I15" s="4"/>
    </row>
    <row r="16" spans="1:11">
      <c r="A16" s="4" t="s">
        <v>111</v>
      </c>
      <c r="B16" s="4">
        <v>5.08</v>
      </c>
      <c r="C16" s="4">
        <v>0.11269999999999999</v>
      </c>
      <c r="D16" s="4">
        <v>0.04</v>
      </c>
      <c r="E16" s="4">
        <v>0.03</v>
      </c>
      <c r="F16" s="4" t="s">
        <v>8</v>
      </c>
      <c r="G16" s="4"/>
      <c r="H16" s="4"/>
      <c r="I16" s="4"/>
      <c r="K16" t="s">
        <v>49</v>
      </c>
    </row>
    <row r="17" spans="1:11">
      <c r="A17" s="4" t="s">
        <v>112</v>
      </c>
      <c r="B17" s="4">
        <v>5.08</v>
      </c>
      <c r="C17" s="4">
        <v>0.11269999999999999</v>
      </c>
      <c r="D17" s="4">
        <v>0.04</v>
      </c>
      <c r="E17" s="4">
        <v>0.03</v>
      </c>
      <c r="F17" s="4" t="s">
        <v>8</v>
      </c>
      <c r="G17" s="4"/>
      <c r="H17" s="4"/>
      <c r="I17" s="4"/>
      <c r="K17" t="s">
        <v>56</v>
      </c>
    </row>
    <row r="18" spans="1:11">
      <c r="A18" s="4" t="s">
        <v>113</v>
      </c>
      <c r="B18" s="4">
        <v>5.08</v>
      </c>
      <c r="C18" s="4">
        <v>0.1128</v>
      </c>
      <c r="D18" s="4">
        <v>0.04</v>
      </c>
      <c r="E18" s="4">
        <v>0.03</v>
      </c>
      <c r="F18" s="4" t="s">
        <v>8</v>
      </c>
      <c r="G18" s="4"/>
      <c r="H18" s="4"/>
      <c r="I18" s="4"/>
      <c r="K18" t="s">
        <v>57</v>
      </c>
    </row>
    <row r="19" spans="1:11">
      <c r="A19" s="4" t="s">
        <v>114</v>
      </c>
      <c r="B19" s="4">
        <v>5.08</v>
      </c>
      <c r="C19" s="4">
        <v>0.11269999999999999</v>
      </c>
      <c r="D19" s="4">
        <v>0.04</v>
      </c>
      <c r="E19" s="4">
        <v>0.03</v>
      </c>
      <c r="F19" s="4" t="s">
        <v>8</v>
      </c>
      <c r="G19" s="4"/>
      <c r="H19" s="4"/>
      <c r="I19" s="4"/>
      <c r="K19" t="s">
        <v>52</v>
      </c>
    </row>
    <row r="20" spans="1:11">
      <c r="A20" s="5" t="s">
        <v>115</v>
      </c>
      <c r="B20" s="5">
        <v>5.08</v>
      </c>
      <c r="C20" s="5">
        <v>0.153</v>
      </c>
      <c r="D20" s="5">
        <v>0.04</v>
      </c>
      <c r="E20" s="5">
        <v>0.03</v>
      </c>
      <c r="F20" s="5" t="s">
        <v>8</v>
      </c>
      <c r="G20" s="6" t="s">
        <v>226</v>
      </c>
      <c r="H20" s="4"/>
      <c r="I20" s="4"/>
      <c r="K20" t="s">
        <v>163</v>
      </c>
    </row>
    <row r="21" spans="1:11">
      <c r="A21" s="5" t="s">
        <v>116</v>
      </c>
      <c r="B21" s="5">
        <v>5.0759999999999996</v>
      </c>
      <c r="C21" s="5">
        <v>0.153</v>
      </c>
      <c r="D21" s="5">
        <v>0.04</v>
      </c>
      <c r="E21" s="5">
        <v>0.03</v>
      </c>
      <c r="F21" s="5" t="s">
        <v>8</v>
      </c>
      <c r="G21" s="6" t="s">
        <v>227</v>
      </c>
      <c r="H21" s="4"/>
      <c r="I21" s="4"/>
      <c r="K21" t="s">
        <v>59</v>
      </c>
    </row>
    <row r="22" spans="1:11">
      <c r="A22" s="5" t="s">
        <v>117</v>
      </c>
      <c r="B22" s="5">
        <v>5.0759999999999996</v>
      </c>
      <c r="C22" s="5">
        <v>0.153</v>
      </c>
      <c r="D22" s="5">
        <v>0.03</v>
      </c>
      <c r="E22" s="5">
        <v>0.03</v>
      </c>
      <c r="F22" s="5" t="s">
        <v>8</v>
      </c>
      <c r="G22" s="6" t="s">
        <v>228</v>
      </c>
      <c r="H22" s="4"/>
      <c r="I22" s="4"/>
      <c r="K22" t="s">
        <v>60</v>
      </c>
    </row>
    <row r="23" spans="1:11">
      <c r="A23" s="5" t="s">
        <v>118</v>
      </c>
      <c r="B23" s="5">
        <v>5.0759999999999996</v>
      </c>
      <c r="C23" s="5">
        <v>0.1532</v>
      </c>
      <c r="D23" s="5">
        <v>0.04</v>
      </c>
      <c r="E23" s="5">
        <v>0.03</v>
      </c>
      <c r="F23" s="5" t="s">
        <v>8</v>
      </c>
      <c r="G23" s="6" t="s">
        <v>224</v>
      </c>
      <c r="H23" s="4"/>
      <c r="I23" s="4"/>
      <c r="K23" t="s">
        <v>61</v>
      </c>
    </row>
    <row r="24" spans="1:11">
      <c r="A24" s="5" t="s">
        <v>119</v>
      </c>
      <c r="B24" s="5">
        <v>5.0759999999999996</v>
      </c>
      <c r="C24" s="5">
        <v>0.1532</v>
      </c>
      <c r="D24" s="5">
        <v>0.03</v>
      </c>
      <c r="E24" s="5">
        <v>0.03</v>
      </c>
      <c r="F24" s="5" t="s">
        <v>8</v>
      </c>
      <c r="G24" s="6" t="s">
        <v>225</v>
      </c>
      <c r="H24" s="4"/>
      <c r="I24" s="4"/>
      <c r="K24" t="s">
        <v>62</v>
      </c>
    </row>
    <row r="25" spans="1:11">
      <c r="A25" s="5" t="s">
        <v>120</v>
      </c>
      <c r="B25" s="5">
        <v>5.0759999999999996</v>
      </c>
      <c r="C25" s="5">
        <v>0.1245</v>
      </c>
      <c r="D25" s="5">
        <v>0.03</v>
      </c>
      <c r="E25" s="5">
        <v>0.03</v>
      </c>
      <c r="F25" s="5" t="s">
        <v>8</v>
      </c>
      <c r="G25" s="11"/>
      <c r="H25" s="4"/>
      <c r="I25" s="4"/>
      <c r="K25" t="s">
        <v>63</v>
      </c>
    </row>
    <row r="26" spans="1:11">
      <c r="A26" s="4" t="s">
        <v>121</v>
      </c>
      <c r="B26" s="4">
        <v>5.08</v>
      </c>
      <c r="C26" s="4">
        <v>0.11310000000000001</v>
      </c>
      <c r="D26" s="4">
        <v>0.03</v>
      </c>
      <c r="E26" s="4">
        <v>0.03</v>
      </c>
      <c r="F26" s="4" t="s">
        <v>8</v>
      </c>
      <c r="H26" s="4"/>
      <c r="I26" s="4"/>
      <c r="K26" t="s">
        <v>64</v>
      </c>
    </row>
    <row r="27" spans="1:11">
      <c r="A27" s="4" t="s">
        <v>122</v>
      </c>
      <c r="B27" s="4">
        <v>5.08</v>
      </c>
      <c r="C27" s="4">
        <v>0.11310000000000001</v>
      </c>
      <c r="D27" s="4">
        <v>0.03</v>
      </c>
      <c r="E27" s="4">
        <v>0.03</v>
      </c>
      <c r="F27" s="4" t="s">
        <v>8</v>
      </c>
      <c r="H27" s="4"/>
      <c r="I27" s="4"/>
      <c r="K27" t="s">
        <v>65</v>
      </c>
    </row>
    <row r="28" spans="1:11">
      <c r="A28" s="4" t="s">
        <v>123</v>
      </c>
      <c r="B28" s="4">
        <v>5.0780000000000003</v>
      </c>
      <c r="C28" s="4">
        <v>0.11310000000000001</v>
      </c>
      <c r="D28" s="4">
        <v>0.04</v>
      </c>
      <c r="E28" s="4">
        <v>0.03</v>
      </c>
      <c r="F28" s="4" t="s">
        <v>8</v>
      </c>
      <c r="G28" s="4"/>
      <c r="H28" s="4"/>
      <c r="I28" s="4"/>
      <c r="K28" t="s">
        <v>66</v>
      </c>
    </row>
    <row r="29" spans="1:11">
      <c r="A29" s="5" t="s">
        <v>124</v>
      </c>
      <c r="B29" s="5">
        <v>5.0780000000000003</v>
      </c>
      <c r="C29" s="5">
        <v>0.1323</v>
      </c>
      <c r="D29" s="5">
        <v>0.04</v>
      </c>
      <c r="E29" s="5">
        <v>0.03</v>
      </c>
      <c r="F29" s="5" t="s">
        <v>8</v>
      </c>
      <c r="G29" s="5"/>
      <c r="H29" s="4"/>
      <c r="I29" s="4"/>
      <c r="K29" t="s">
        <v>67</v>
      </c>
    </row>
    <row r="30" spans="1:11">
      <c r="A30" s="4" t="s">
        <v>125</v>
      </c>
      <c r="B30" s="4">
        <v>5.0780000000000003</v>
      </c>
      <c r="C30" s="4">
        <v>0.11310000000000001</v>
      </c>
      <c r="D30" s="4">
        <v>0.04</v>
      </c>
      <c r="E30" s="4">
        <v>0.03</v>
      </c>
      <c r="F30" s="4" t="s">
        <v>8</v>
      </c>
      <c r="G30" s="4"/>
      <c r="H30" s="4"/>
      <c r="I30" s="4"/>
      <c r="K30" t="s">
        <v>54</v>
      </c>
    </row>
    <row r="31" spans="1:11">
      <c r="A31" s="4" t="s">
        <v>126</v>
      </c>
      <c r="B31" s="4">
        <v>5.08</v>
      </c>
      <c r="C31" s="4">
        <v>0.113</v>
      </c>
      <c r="D31" s="4">
        <v>0.04</v>
      </c>
      <c r="E31" s="4">
        <v>0.03</v>
      </c>
      <c r="F31" s="4" t="s">
        <v>8</v>
      </c>
      <c r="G31" s="4"/>
      <c r="H31" s="4"/>
      <c r="I31" s="4"/>
      <c r="K31" t="s">
        <v>164</v>
      </c>
    </row>
    <row r="32" spans="1:11">
      <c r="A32" s="4" t="s">
        <v>127</v>
      </c>
      <c r="B32" s="4">
        <v>5.08</v>
      </c>
      <c r="C32" s="4">
        <v>0.113</v>
      </c>
      <c r="D32" s="4">
        <v>0.04</v>
      </c>
      <c r="E32" s="4">
        <v>0.03</v>
      </c>
      <c r="F32" s="4" t="s">
        <v>8</v>
      </c>
      <c r="G32" s="4"/>
      <c r="H32" s="4"/>
      <c r="I32" s="4"/>
    </row>
    <row r="33" spans="1:11">
      <c r="A33" s="4" t="s">
        <v>128</v>
      </c>
      <c r="B33" s="4">
        <v>5.08</v>
      </c>
      <c r="C33" s="4">
        <v>0.1129</v>
      </c>
      <c r="D33" s="4">
        <v>0.04</v>
      </c>
      <c r="E33" s="4">
        <v>0.03</v>
      </c>
      <c r="F33" s="4" t="s">
        <v>8</v>
      </c>
      <c r="G33" s="4"/>
      <c r="H33" s="4"/>
      <c r="I33" s="4"/>
      <c r="K33" t="s">
        <v>49</v>
      </c>
    </row>
    <row r="34" spans="1:11">
      <c r="A34" s="4" t="s">
        <v>129</v>
      </c>
      <c r="B34" s="4">
        <v>5.08</v>
      </c>
      <c r="C34" s="4">
        <v>0.1129</v>
      </c>
      <c r="D34" s="4">
        <v>0.04</v>
      </c>
      <c r="E34" s="4">
        <v>0.03</v>
      </c>
      <c r="F34" s="4" t="s">
        <v>8</v>
      </c>
      <c r="G34" s="4"/>
      <c r="H34" s="4"/>
      <c r="I34" s="4"/>
      <c r="K34" t="s">
        <v>165</v>
      </c>
    </row>
    <row r="35" spans="1:11">
      <c r="A35" s="4" t="s">
        <v>130</v>
      </c>
      <c r="B35" s="4">
        <v>5.08</v>
      </c>
      <c r="C35" s="4">
        <v>0.1225</v>
      </c>
      <c r="D35" s="4">
        <v>0.03</v>
      </c>
      <c r="E35" s="4">
        <v>0.03</v>
      </c>
      <c r="F35" s="4" t="s">
        <v>8</v>
      </c>
      <c r="G35" s="9" t="s">
        <v>376</v>
      </c>
      <c r="H35" s="4"/>
      <c r="I35" s="4"/>
      <c r="K35" t="s">
        <v>166</v>
      </c>
    </row>
    <row r="36" spans="1:11">
      <c r="A36" s="4" t="s">
        <v>131</v>
      </c>
      <c r="B36" s="4">
        <v>5.0789999999999997</v>
      </c>
      <c r="C36" s="4">
        <v>0.11310000000000001</v>
      </c>
      <c r="D36" s="4">
        <v>0.03</v>
      </c>
      <c r="E36" s="4">
        <v>0.03</v>
      </c>
      <c r="F36" s="4" t="s">
        <v>8</v>
      </c>
      <c r="G36" s="4"/>
      <c r="H36" s="4"/>
      <c r="I36" s="4"/>
      <c r="K36" t="s">
        <v>52</v>
      </c>
    </row>
    <row r="37" spans="1:11">
      <c r="A37" s="4" t="s">
        <v>132</v>
      </c>
      <c r="B37" s="4">
        <v>5.08</v>
      </c>
      <c r="C37" s="4">
        <v>0.11310000000000001</v>
      </c>
      <c r="D37" s="4">
        <v>0.03</v>
      </c>
      <c r="E37" s="4">
        <v>0.03</v>
      </c>
      <c r="F37" s="4" t="s">
        <v>8</v>
      </c>
      <c r="G37" s="4"/>
      <c r="H37" s="4"/>
      <c r="I37" s="4"/>
      <c r="K37" t="s">
        <v>167</v>
      </c>
    </row>
    <row r="38" spans="1:11">
      <c r="A38" s="4" t="s">
        <v>133</v>
      </c>
      <c r="B38" s="4">
        <v>5.08</v>
      </c>
      <c r="C38" s="4">
        <v>0.113</v>
      </c>
      <c r="D38" s="4">
        <v>0.03</v>
      </c>
      <c r="E38" s="4">
        <v>0.03</v>
      </c>
      <c r="F38" s="4" t="s">
        <v>8</v>
      </c>
      <c r="G38" s="4"/>
      <c r="H38" s="4"/>
      <c r="I38" s="4"/>
      <c r="K38" t="s">
        <v>59</v>
      </c>
    </row>
    <row r="39" spans="1:11">
      <c r="A39" s="4" t="s">
        <v>134</v>
      </c>
      <c r="B39" s="4">
        <v>5.0810000000000004</v>
      </c>
      <c r="C39" s="4">
        <v>0.11020000000000001</v>
      </c>
      <c r="D39" s="4">
        <v>0.03</v>
      </c>
      <c r="E39" s="4">
        <v>0.03</v>
      </c>
      <c r="F39" s="4" t="s">
        <v>8</v>
      </c>
      <c r="G39" s="4"/>
      <c r="H39" s="4"/>
      <c r="I39" s="4"/>
      <c r="K39" t="s">
        <v>168</v>
      </c>
    </row>
    <row r="40" spans="1:11">
      <c r="A40" s="4" t="s">
        <v>135</v>
      </c>
      <c r="B40" s="4">
        <v>5.0810000000000004</v>
      </c>
      <c r="C40" s="4">
        <v>0.1101</v>
      </c>
      <c r="D40" s="4">
        <v>0.03</v>
      </c>
      <c r="E40" s="4">
        <v>0.03</v>
      </c>
      <c r="F40" s="4" t="s">
        <v>8</v>
      </c>
      <c r="G40" s="4"/>
      <c r="H40" s="4"/>
      <c r="I40" s="4"/>
      <c r="K40" t="s">
        <v>76</v>
      </c>
    </row>
    <row r="41" spans="1:11">
      <c r="A41" s="4" t="s">
        <v>136</v>
      </c>
      <c r="B41" s="4">
        <v>5.0810000000000004</v>
      </c>
      <c r="C41" s="4">
        <v>0.1101</v>
      </c>
      <c r="D41" s="4">
        <v>0.03</v>
      </c>
      <c r="E41" s="4">
        <v>0.03</v>
      </c>
      <c r="F41" s="4" t="s">
        <v>8</v>
      </c>
      <c r="G41" s="4"/>
      <c r="H41" s="4"/>
      <c r="I41" s="4"/>
      <c r="K41" t="s">
        <v>169</v>
      </c>
    </row>
    <row r="42" spans="1:11">
      <c r="A42" s="4" t="s">
        <v>137</v>
      </c>
      <c r="B42" s="4">
        <v>5.0810000000000004</v>
      </c>
      <c r="C42" s="4">
        <v>0.1101</v>
      </c>
      <c r="D42" s="4">
        <v>0.03</v>
      </c>
      <c r="E42" s="4">
        <v>0.03</v>
      </c>
      <c r="F42" s="4" t="s">
        <v>8</v>
      </c>
      <c r="G42" s="4"/>
      <c r="H42" s="4"/>
      <c r="I42" s="4"/>
      <c r="K42" t="s">
        <v>170</v>
      </c>
    </row>
    <row r="43" spans="1:11">
      <c r="A43" s="4" t="s">
        <v>138</v>
      </c>
      <c r="B43" s="4">
        <v>5.0810000000000004</v>
      </c>
      <c r="C43" s="4">
        <v>0.1101</v>
      </c>
      <c r="D43" s="4">
        <v>0.03</v>
      </c>
      <c r="E43" s="4">
        <v>0.03</v>
      </c>
      <c r="F43" s="4" t="s">
        <v>8</v>
      </c>
      <c r="G43" s="4"/>
      <c r="H43" s="4"/>
      <c r="I43" s="4"/>
      <c r="K43" t="s">
        <v>79</v>
      </c>
    </row>
    <row r="44" spans="1:11">
      <c r="A44" s="4" t="s">
        <v>139</v>
      </c>
      <c r="B44" s="4">
        <v>5.0810000000000004</v>
      </c>
      <c r="C44" s="4">
        <v>0.11</v>
      </c>
      <c r="D44" s="4">
        <v>0.03</v>
      </c>
      <c r="E44" s="4">
        <v>0.03</v>
      </c>
      <c r="F44" s="4" t="s">
        <v>8</v>
      </c>
      <c r="G44" s="4"/>
      <c r="H44" s="4"/>
      <c r="I44" s="4"/>
      <c r="K44" t="s">
        <v>171</v>
      </c>
    </row>
    <row r="45" spans="1:11">
      <c r="A45" s="4" t="s">
        <v>140</v>
      </c>
      <c r="B45" s="4">
        <v>5.0810000000000004</v>
      </c>
      <c r="C45" s="4">
        <v>0.1101</v>
      </c>
      <c r="D45" s="4">
        <v>0.03</v>
      </c>
      <c r="E45" s="4">
        <v>0.03</v>
      </c>
      <c r="F45" s="4" t="s">
        <v>8</v>
      </c>
      <c r="G45" s="4"/>
      <c r="H45" s="4"/>
      <c r="I45" s="4"/>
      <c r="K45" t="s">
        <v>81</v>
      </c>
    </row>
    <row r="46" spans="1:11">
      <c r="A46" s="4" t="s">
        <v>141</v>
      </c>
      <c r="B46" s="4">
        <v>5.0810000000000004</v>
      </c>
      <c r="C46" s="4">
        <v>0.11</v>
      </c>
      <c r="D46" s="4">
        <v>0.04</v>
      </c>
      <c r="E46" s="4">
        <v>0.03</v>
      </c>
      <c r="F46" s="4" t="s">
        <v>8</v>
      </c>
      <c r="G46" s="4"/>
      <c r="H46" s="4"/>
      <c r="I46" s="4"/>
      <c r="K46" t="s">
        <v>82</v>
      </c>
    </row>
    <row r="47" spans="1:11">
      <c r="A47" s="4" t="s">
        <v>142</v>
      </c>
      <c r="B47" s="4">
        <v>5.0810000000000004</v>
      </c>
      <c r="C47" s="4">
        <v>0.11</v>
      </c>
      <c r="D47" s="4">
        <v>0.04</v>
      </c>
      <c r="E47" s="4">
        <v>0.03</v>
      </c>
      <c r="F47" s="4" t="s">
        <v>8</v>
      </c>
      <c r="G47" s="4"/>
      <c r="H47" s="4"/>
      <c r="I47" s="4"/>
      <c r="K47" t="s">
        <v>172</v>
      </c>
    </row>
    <row r="48" spans="1:11">
      <c r="A48" s="4" t="s">
        <v>143</v>
      </c>
      <c r="B48" s="4">
        <v>5.0810000000000004</v>
      </c>
      <c r="C48" s="4">
        <v>0.1101</v>
      </c>
      <c r="D48" s="4">
        <v>0.04</v>
      </c>
      <c r="E48" s="4">
        <v>0.03</v>
      </c>
      <c r="F48" s="4" t="s">
        <v>8</v>
      </c>
      <c r="G48" s="4"/>
      <c r="H48" s="4"/>
      <c r="I48" s="4"/>
      <c r="K48" t="s">
        <v>84</v>
      </c>
    </row>
    <row r="49" spans="1:11">
      <c r="A49" s="4" t="s">
        <v>144</v>
      </c>
      <c r="B49" s="4">
        <v>5.0810000000000004</v>
      </c>
      <c r="C49" s="4">
        <v>0.1101</v>
      </c>
      <c r="D49" s="4">
        <v>0.04</v>
      </c>
      <c r="E49" s="4">
        <v>0.03</v>
      </c>
      <c r="F49" s="4" t="s">
        <v>8</v>
      </c>
      <c r="G49" s="4"/>
      <c r="H49" s="4"/>
      <c r="I49" s="4"/>
      <c r="K49" t="s">
        <v>173</v>
      </c>
    </row>
    <row r="50" spans="1:11">
      <c r="A50" s="4" t="s">
        <v>145</v>
      </c>
      <c r="B50" s="4">
        <v>5.0810000000000004</v>
      </c>
      <c r="C50" s="4">
        <v>0.11</v>
      </c>
      <c r="D50" s="4">
        <v>0.04</v>
      </c>
      <c r="E50" s="4">
        <v>0.03</v>
      </c>
      <c r="F50" s="4" t="s">
        <v>8</v>
      </c>
      <c r="G50" s="4"/>
      <c r="H50" s="4"/>
      <c r="I50" s="4"/>
      <c r="K50" t="s">
        <v>86</v>
      </c>
    </row>
    <row r="51" spans="1:11">
      <c r="A51" s="4" t="s">
        <v>146</v>
      </c>
      <c r="B51" s="4">
        <v>5.0810000000000004</v>
      </c>
      <c r="C51" s="4">
        <v>0.11</v>
      </c>
      <c r="D51" s="4">
        <v>0.03</v>
      </c>
      <c r="E51" s="4">
        <v>0.03</v>
      </c>
      <c r="F51" s="4" t="s">
        <v>8</v>
      </c>
      <c r="G51" s="4"/>
      <c r="H51" s="4"/>
      <c r="I51" s="4"/>
      <c r="K51" t="s">
        <v>174</v>
      </c>
    </row>
    <row r="52" spans="1:11">
      <c r="A52" s="4" t="s">
        <v>147</v>
      </c>
      <c r="B52" s="4">
        <v>5.0810000000000004</v>
      </c>
      <c r="C52" s="4">
        <v>0.11</v>
      </c>
      <c r="D52" s="4">
        <v>0.03</v>
      </c>
      <c r="E52" s="4">
        <v>0.03</v>
      </c>
      <c r="F52" s="4" t="s">
        <v>8</v>
      </c>
      <c r="G52" s="4"/>
      <c r="H52" s="4"/>
      <c r="I52" s="4"/>
      <c r="K52" t="s">
        <v>54</v>
      </c>
    </row>
    <row r="53" spans="1:11">
      <c r="A53" s="4" t="s">
        <v>148</v>
      </c>
      <c r="B53" s="4">
        <v>5.0810000000000004</v>
      </c>
      <c r="C53" s="4">
        <v>0.1101</v>
      </c>
      <c r="D53" s="4">
        <v>0.03</v>
      </c>
      <c r="E53" s="4">
        <v>0.03</v>
      </c>
      <c r="F53" s="4" t="s">
        <v>8</v>
      </c>
      <c r="G53" s="4"/>
      <c r="H53" s="4"/>
      <c r="I53" s="4"/>
      <c r="K53" t="s">
        <v>175</v>
      </c>
    </row>
    <row r="54" spans="1:11">
      <c r="A54" s="4" t="s">
        <v>149</v>
      </c>
      <c r="B54" s="4">
        <v>5.0810000000000004</v>
      </c>
      <c r="C54" s="4">
        <v>0.1101</v>
      </c>
      <c r="D54" s="4">
        <v>0.03</v>
      </c>
      <c r="E54" s="4">
        <v>0.03</v>
      </c>
      <c r="F54" s="4" t="s">
        <v>8</v>
      </c>
      <c r="G54" s="4"/>
      <c r="H54" s="4"/>
      <c r="I54" s="4"/>
    </row>
    <row r="55" spans="1:11">
      <c r="A55" s="4" t="s">
        <v>150</v>
      </c>
      <c r="B55" s="4">
        <v>5.0810000000000004</v>
      </c>
      <c r="C55" s="4">
        <v>0.11</v>
      </c>
      <c r="D55" s="4">
        <v>0.03</v>
      </c>
      <c r="E55" s="4">
        <v>0.03</v>
      </c>
      <c r="F55" s="4" t="s">
        <v>8</v>
      </c>
      <c r="G55" s="4"/>
      <c r="H55" s="4"/>
      <c r="I55" s="4"/>
      <c r="K55" t="s">
        <v>49</v>
      </c>
    </row>
    <row r="56" spans="1:11">
      <c r="A56" s="4" t="s">
        <v>151</v>
      </c>
      <c r="B56" s="4">
        <v>5.0810000000000004</v>
      </c>
      <c r="C56" s="4">
        <v>0.1101</v>
      </c>
      <c r="D56" s="4">
        <v>0.03</v>
      </c>
      <c r="E56" s="4">
        <v>0.03</v>
      </c>
      <c r="F56" s="4" t="s">
        <v>8</v>
      </c>
      <c r="G56" s="4"/>
      <c r="H56" s="4"/>
      <c r="I56" s="4"/>
      <c r="K56" t="s">
        <v>176</v>
      </c>
    </row>
    <row r="57" spans="1:11">
      <c r="A57" s="4" t="s">
        <v>152</v>
      </c>
      <c r="B57" s="4">
        <v>5.0810000000000004</v>
      </c>
      <c r="C57" s="4">
        <v>0.1101</v>
      </c>
      <c r="D57" s="4">
        <v>0.03</v>
      </c>
      <c r="E57" s="4">
        <v>0.03</v>
      </c>
      <c r="F57" s="4" t="s">
        <v>8</v>
      </c>
      <c r="G57" s="4"/>
      <c r="H57" s="4"/>
      <c r="I57" s="4"/>
      <c r="K57" t="s">
        <v>177</v>
      </c>
    </row>
    <row r="58" spans="1:11">
      <c r="A58" s="4" t="s">
        <v>153</v>
      </c>
      <c r="B58" s="4">
        <v>5.0810000000000004</v>
      </c>
      <c r="C58" s="4">
        <v>0.11</v>
      </c>
      <c r="D58" s="4">
        <v>0.03</v>
      </c>
      <c r="E58" s="4">
        <v>0.03</v>
      </c>
      <c r="F58" s="4" t="s">
        <v>8</v>
      </c>
      <c r="G58" s="4"/>
      <c r="H58" s="4"/>
      <c r="I58" s="4"/>
      <c r="K58" t="s">
        <v>52</v>
      </c>
    </row>
    <row r="59" spans="1:11">
      <c r="A59" s="4" t="s">
        <v>154</v>
      </c>
      <c r="B59" s="4">
        <v>5.08</v>
      </c>
      <c r="C59" s="4">
        <v>0.1101</v>
      </c>
      <c r="D59" s="4">
        <v>0.04</v>
      </c>
      <c r="E59" s="4">
        <v>0.03</v>
      </c>
      <c r="F59" s="4" t="s">
        <v>8</v>
      </c>
      <c r="G59" s="4"/>
      <c r="H59" s="4"/>
      <c r="I59" s="4"/>
      <c r="K59" t="s">
        <v>178</v>
      </c>
    </row>
    <row r="60" spans="1:11">
      <c r="A60" s="4" t="s">
        <v>155</v>
      </c>
      <c r="B60" s="4">
        <v>5.08</v>
      </c>
      <c r="C60" s="4">
        <v>0.11</v>
      </c>
      <c r="D60" s="4">
        <v>0.04</v>
      </c>
      <c r="E60" s="4">
        <v>0.03</v>
      </c>
      <c r="F60" s="4" t="s">
        <v>8</v>
      </c>
      <c r="G60" s="4"/>
      <c r="H60" s="4"/>
      <c r="I60" s="4"/>
      <c r="K60" t="s">
        <v>54</v>
      </c>
    </row>
    <row r="61" spans="1:11">
      <c r="A61" s="4" t="s">
        <v>156</v>
      </c>
      <c r="B61" s="4">
        <v>5.0810000000000004</v>
      </c>
      <c r="C61" s="4">
        <v>0.11</v>
      </c>
      <c r="D61" s="4">
        <v>0.04</v>
      </c>
      <c r="E61" s="4">
        <v>0.03</v>
      </c>
      <c r="F61" s="4" t="s">
        <v>8</v>
      </c>
      <c r="G61" s="4"/>
      <c r="H61" s="4"/>
      <c r="I61" s="4"/>
      <c r="K61" t="s">
        <v>92</v>
      </c>
    </row>
    <row r="62" spans="1:11">
      <c r="A62" s="4" t="s">
        <v>157</v>
      </c>
      <c r="B62" s="4">
        <v>5.0810000000000004</v>
      </c>
      <c r="C62" s="4">
        <v>0.11</v>
      </c>
      <c r="D62" s="4">
        <v>0.04</v>
      </c>
      <c r="E62" s="4">
        <v>0.03</v>
      </c>
      <c r="F62" s="4" t="s">
        <v>8</v>
      </c>
      <c r="G62" s="4"/>
      <c r="H62" s="4"/>
      <c r="I62" s="4"/>
    </row>
    <row r="63" spans="1:11">
      <c r="A63" s="4" t="s">
        <v>158</v>
      </c>
      <c r="B63" s="4">
        <v>5.08</v>
      </c>
      <c r="C63" s="4">
        <v>0.1101</v>
      </c>
      <c r="D63" s="4">
        <v>0.04</v>
      </c>
      <c r="E63" s="4">
        <v>0.03</v>
      </c>
      <c r="F63" s="4" t="s">
        <v>8</v>
      </c>
      <c r="G63" s="4"/>
      <c r="H63" s="4"/>
      <c r="I63" s="4"/>
      <c r="K63" t="s">
        <v>93</v>
      </c>
    </row>
    <row r="64" spans="1:11">
      <c r="A64" s="4" t="s">
        <v>159</v>
      </c>
      <c r="B64" s="4">
        <v>5.08</v>
      </c>
      <c r="C64" s="4">
        <v>0.1101</v>
      </c>
      <c r="D64" s="4">
        <v>0.04</v>
      </c>
      <c r="E64" s="4">
        <v>0.03</v>
      </c>
      <c r="F64" s="4" t="s">
        <v>8</v>
      </c>
      <c r="G64" s="4"/>
      <c r="H64" s="4"/>
      <c r="I64" s="4"/>
      <c r="K64" t="s">
        <v>94</v>
      </c>
    </row>
    <row r="65" spans="1:11">
      <c r="A65" s="4" t="s">
        <v>160</v>
      </c>
      <c r="B65" s="4">
        <v>5.08</v>
      </c>
      <c r="C65" s="4">
        <v>0.11</v>
      </c>
      <c r="D65" s="4">
        <v>0.04</v>
      </c>
      <c r="E65" s="4">
        <v>0.03</v>
      </c>
      <c r="F65" s="4" t="s">
        <v>8</v>
      </c>
      <c r="G65" s="4"/>
      <c r="H65" s="4"/>
      <c r="I65" s="4"/>
      <c r="K65" t="s">
        <v>95</v>
      </c>
    </row>
    <row r="66" spans="1:11">
      <c r="A66" s="4" t="s">
        <v>161</v>
      </c>
      <c r="B66" s="4">
        <v>5.08</v>
      </c>
      <c r="C66" s="4">
        <v>0.11</v>
      </c>
      <c r="D66" s="4">
        <v>0.04</v>
      </c>
      <c r="E66" s="4">
        <v>0.03</v>
      </c>
      <c r="F66" s="4" t="s">
        <v>8</v>
      </c>
      <c r="G66" s="4"/>
      <c r="H66" s="4"/>
      <c r="I66" s="4"/>
      <c r="K66" t="s">
        <v>96</v>
      </c>
    </row>
    <row r="67" spans="1:11">
      <c r="A67" s="4" t="s">
        <v>162</v>
      </c>
      <c r="B67" s="4">
        <v>5.0810000000000004</v>
      </c>
      <c r="C67" s="4">
        <v>0.11</v>
      </c>
      <c r="D67" s="4">
        <v>0.04</v>
      </c>
      <c r="E67" s="4">
        <v>0.03</v>
      </c>
      <c r="F67" s="4" t="s">
        <v>8</v>
      </c>
      <c r="G67" s="4"/>
      <c r="H67" s="4"/>
      <c r="I67" s="4"/>
      <c r="K67" t="s">
        <v>97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5196-64AD-4309-AAB4-D4E506F8422D}">
  <dimension ref="A1:J67"/>
  <sheetViews>
    <sheetView zoomScale="95" workbookViewId="0">
      <selection activeCell="I12" sqref="I12"/>
    </sheetView>
  </sheetViews>
  <sheetFormatPr baseColWidth="10" defaultRowHeight="14.4"/>
  <cols>
    <col min="7" max="7" width="20.77734375" customWidth="1"/>
    <col min="8" max="8" width="18.77734375" customWidth="1"/>
    <col min="9" max="9" width="44.21875" customWidth="1"/>
  </cols>
  <sheetData>
    <row r="1" spans="1:10" ht="15" thickBot="1">
      <c r="A1" s="13" t="s">
        <v>0</v>
      </c>
      <c r="B1" s="14"/>
      <c r="C1" s="14"/>
      <c r="D1" s="14"/>
      <c r="E1" s="14"/>
      <c r="F1" s="14"/>
      <c r="G1" s="14"/>
      <c r="H1" s="15"/>
      <c r="I1" s="10" t="s">
        <v>370</v>
      </c>
      <c r="J1" t="s">
        <v>43</v>
      </c>
    </row>
    <row r="2" spans="1:10" ht="26.4" thickBot="1">
      <c r="A2" s="1" t="s">
        <v>1</v>
      </c>
      <c r="B2" s="2" t="s">
        <v>2</v>
      </c>
      <c r="C2" s="3" t="s">
        <v>3</v>
      </c>
      <c r="D2" s="1" t="s">
        <v>4</v>
      </c>
      <c r="E2" s="1" t="s">
        <v>5</v>
      </c>
      <c r="F2" s="1" t="s">
        <v>6</v>
      </c>
      <c r="G2" s="7" t="s">
        <v>229</v>
      </c>
      <c r="H2" s="12" t="s">
        <v>377</v>
      </c>
      <c r="I2" t="s">
        <v>371</v>
      </c>
      <c r="J2" t="s">
        <v>44</v>
      </c>
    </row>
    <row r="3" spans="1:10">
      <c r="A3" s="4" t="s">
        <v>179</v>
      </c>
      <c r="B3" s="4">
        <v>5.0810000000000004</v>
      </c>
      <c r="C3" s="4">
        <v>0.11</v>
      </c>
      <c r="D3" s="4">
        <v>0.04</v>
      </c>
      <c r="E3" s="4">
        <v>0.03</v>
      </c>
      <c r="F3" s="4" t="s">
        <v>8</v>
      </c>
      <c r="G3" s="4"/>
      <c r="H3" s="4">
        <v>2</v>
      </c>
      <c r="I3">
        <f>AVERAGE(C7:C8)</f>
        <v>0.11799999999999999</v>
      </c>
      <c r="J3" t="s">
        <v>45</v>
      </c>
    </row>
    <row r="4" spans="1:10">
      <c r="A4" s="4" t="s">
        <v>180</v>
      </c>
      <c r="B4" s="4">
        <v>5.0810000000000004</v>
      </c>
      <c r="C4" s="4">
        <v>0.11</v>
      </c>
      <c r="D4" s="4">
        <v>0.04</v>
      </c>
      <c r="E4" s="4">
        <v>0.03</v>
      </c>
      <c r="F4" s="4" t="s">
        <v>8</v>
      </c>
      <c r="G4" s="4"/>
      <c r="H4" s="4"/>
      <c r="I4" t="s">
        <v>372</v>
      </c>
      <c r="J4" t="s">
        <v>46</v>
      </c>
    </row>
    <row r="5" spans="1:10">
      <c r="A5" s="4" t="s">
        <v>181</v>
      </c>
      <c r="B5" s="4">
        <v>5.0810000000000004</v>
      </c>
      <c r="C5" s="4">
        <v>0.11</v>
      </c>
      <c r="D5" s="4">
        <v>0.04</v>
      </c>
      <c r="E5" s="4">
        <v>0.03</v>
      </c>
      <c r="F5" s="4" t="s">
        <v>8</v>
      </c>
      <c r="G5" s="4"/>
      <c r="H5" s="4">
        <v>8</v>
      </c>
      <c r="I5">
        <f>AVERAGE(C20:C26,C29)</f>
        <v>0.150225</v>
      </c>
      <c r="J5" t="s">
        <v>47</v>
      </c>
    </row>
    <row r="6" spans="1:10">
      <c r="A6" s="4" t="s">
        <v>182</v>
      </c>
      <c r="B6" s="4">
        <v>5.08</v>
      </c>
      <c r="C6" s="4">
        <v>0.11</v>
      </c>
      <c r="D6" s="4">
        <v>0.05</v>
      </c>
      <c r="E6" s="4">
        <v>0.03</v>
      </c>
      <c r="F6" s="4" t="s">
        <v>8</v>
      </c>
      <c r="G6" s="4"/>
      <c r="H6" s="4"/>
      <c r="I6" t="s">
        <v>373</v>
      </c>
      <c r="J6" t="s">
        <v>48</v>
      </c>
    </row>
    <row r="7" spans="1:10">
      <c r="A7" s="5" t="s">
        <v>183</v>
      </c>
      <c r="B7" s="5">
        <v>5.08</v>
      </c>
      <c r="C7" s="5">
        <v>0.1166</v>
      </c>
      <c r="D7" s="5">
        <v>0.05</v>
      </c>
      <c r="E7" s="5">
        <v>0.03</v>
      </c>
      <c r="F7" s="5" t="s">
        <v>8</v>
      </c>
      <c r="G7" s="5" t="s">
        <v>222</v>
      </c>
      <c r="H7" s="4"/>
      <c r="I7">
        <f>AVERAGE(C9:C12,C13:C19,C27:C28,C30:C37)</f>
        <v>0.11335714285714284</v>
      </c>
    </row>
    <row r="8" spans="1:10">
      <c r="A8" s="5" t="s">
        <v>184</v>
      </c>
      <c r="B8" s="5">
        <v>5.08</v>
      </c>
      <c r="C8" s="5">
        <v>0.11940000000000001</v>
      </c>
      <c r="D8" s="5">
        <v>0.04</v>
      </c>
      <c r="E8" s="5">
        <v>0.03</v>
      </c>
      <c r="F8" s="5" t="s">
        <v>8</v>
      </c>
      <c r="G8" s="5"/>
      <c r="H8" s="4">
        <f>31-H3-H5</f>
        <v>21</v>
      </c>
      <c r="I8" t="s">
        <v>374</v>
      </c>
      <c r="J8" t="s">
        <v>49</v>
      </c>
    </row>
    <row r="9" spans="1:10">
      <c r="A9" s="4" t="s">
        <v>185</v>
      </c>
      <c r="B9" s="4">
        <v>5.08</v>
      </c>
      <c r="C9" s="4">
        <v>0.1129</v>
      </c>
      <c r="D9" s="4">
        <v>0.04</v>
      </c>
      <c r="E9" s="4">
        <v>0.03</v>
      </c>
      <c r="F9" s="4" t="s">
        <v>8</v>
      </c>
      <c r="G9" s="4"/>
      <c r="H9" s="4"/>
      <c r="I9">
        <f>C20</f>
        <v>0.1593</v>
      </c>
      <c r="J9" t="s">
        <v>50</v>
      </c>
    </row>
    <row r="10" spans="1:10">
      <c r="A10" s="4" t="s">
        <v>186</v>
      </c>
      <c r="B10" s="4">
        <v>5.0780000000000003</v>
      </c>
      <c r="C10" s="4">
        <v>0.1129</v>
      </c>
      <c r="D10" s="4">
        <v>0.04</v>
      </c>
      <c r="E10" s="4">
        <v>0.03</v>
      </c>
      <c r="F10" s="4" t="s">
        <v>8</v>
      </c>
      <c r="G10" s="4"/>
      <c r="H10" s="4"/>
      <c r="I10" t="s">
        <v>375</v>
      </c>
      <c r="J10" t="s">
        <v>51</v>
      </c>
    </row>
    <row r="11" spans="1:10">
      <c r="A11" s="4" t="s">
        <v>187</v>
      </c>
      <c r="B11" s="4">
        <v>5.08</v>
      </c>
      <c r="C11" s="4">
        <v>0.1129</v>
      </c>
      <c r="D11" s="4">
        <v>0.04</v>
      </c>
      <c r="E11" s="4">
        <v>0.03</v>
      </c>
      <c r="F11" s="4" t="s">
        <v>8</v>
      </c>
      <c r="G11" s="4"/>
      <c r="H11" s="4"/>
      <c r="I11">
        <f>C17</f>
        <v>0.11269999999999999</v>
      </c>
      <c r="J11" t="s">
        <v>52</v>
      </c>
    </row>
    <row r="12" spans="1:10">
      <c r="A12" s="4" t="s">
        <v>188</v>
      </c>
      <c r="B12" s="4">
        <v>5.08</v>
      </c>
      <c r="C12" s="4">
        <v>0.1128</v>
      </c>
      <c r="D12" s="4">
        <v>0.04</v>
      </c>
      <c r="E12" s="4">
        <v>0.03</v>
      </c>
      <c r="F12" s="4" t="s">
        <v>8</v>
      </c>
      <c r="G12" s="4"/>
      <c r="H12" s="4"/>
      <c r="I12" s="8"/>
      <c r="J12" t="s">
        <v>53</v>
      </c>
    </row>
    <row r="13" spans="1:10">
      <c r="A13" s="5" t="s">
        <v>189</v>
      </c>
      <c r="B13" s="5">
        <v>5.08</v>
      </c>
      <c r="C13" s="5">
        <v>0.1128</v>
      </c>
      <c r="D13" s="5">
        <v>0.04</v>
      </c>
      <c r="E13" s="5">
        <v>0.03</v>
      </c>
      <c r="F13" s="5" t="s">
        <v>8</v>
      </c>
      <c r="G13" s="5"/>
      <c r="H13" s="4"/>
      <c r="J13" t="s">
        <v>54</v>
      </c>
    </row>
    <row r="14" spans="1:10">
      <c r="A14" s="4" t="s">
        <v>190</v>
      </c>
      <c r="B14" s="4">
        <v>5.08</v>
      </c>
      <c r="C14" s="4">
        <v>0.1128</v>
      </c>
      <c r="D14" s="4">
        <v>0.03</v>
      </c>
      <c r="E14" s="4">
        <v>0.03</v>
      </c>
      <c r="F14" s="4" t="s">
        <v>8</v>
      </c>
      <c r="G14" s="4"/>
      <c r="H14" s="4"/>
      <c r="J14" t="s">
        <v>214</v>
      </c>
    </row>
    <row r="15" spans="1:10">
      <c r="A15" s="4" t="s">
        <v>191</v>
      </c>
      <c r="B15" s="4">
        <v>5.08</v>
      </c>
      <c r="C15" s="4">
        <v>0.1128</v>
      </c>
      <c r="D15" s="4">
        <v>0.03</v>
      </c>
      <c r="E15" s="4">
        <v>0.03</v>
      </c>
      <c r="F15" s="4" t="s">
        <v>8</v>
      </c>
      <c r="G15" s="4"/>
      <c r="H15" s="4"/>
    </row>
    <row r="16" spans="1:10">
      <c r="A16" s="4" t="s">
        <v>192</v>
      </c>
      <c r="B16" s="4">
        <v>5.08</v>
      </c>
      <c r="C16" s="4">
        <v>0.1128</v>
      </c>
      <c r="D16" s="4">
        <v>0.03</v>
      </c>
      <c r="E16" s="4">
        <v>0.03</v>
      </c>
      <c r="F16" s="4" t="s">
        <v>8</v>
      </c>
      <c r="G16" s="4"/>
      <c r="H16" s="4"/>
      <c r="J16" t="s">
        <v>49</v>
      </c>
    </row>
    <row r="17" spans="1:10">
      <c r="A17" s="4" t="s">
        <v>193</v>
      </c>
      <c r="B17" s="4">
        <v>5.08</v>
      </c>
      <c r="C17" s="4">
        <v>0.11269999999999999</v>
      </c>
      <c r="D17" s="4">
        <v>0.03</v>
      </c>
      <c r="E17" s="4">
        <v>0.03</v>
      </c>
      <c r="F17" s="4" t="s">
        <v>8</v>
      </c>
      <c r="G17" s="4"/>
      <c r="H17" s="4"/>
      <c r="J17" t="s">
        <v>215</v>
      </c>
    </row>
    <row r="18" spans="1:10">
      <c r="A18" s="4" t="s">
        <v>194</v>
      </c>
      <c r="B18" s="4">
        <v>5.0810000000000004</v>
      </c>
      <c r="C18" s="4">
        <v>0.1128</v>
      </c>
      <c r="D18" s="4">
        <v>0.04</v>
      </c>
      <c r="E18" s="4">
        <v>0.03</v>
      </c>
      <c r="F18" s="4" t="s">
        <v>8</v>
      </c>
      <c r="G18" s="4"/>
      <c r="H18" s="4"/>
      <c r="J18" t="s">
        <v>216</v>
      </c>
    </row>
    <row r="19" spans="1:10">
      <c r="A19" s="4" t="s">
        <v>195</v>
      </c>
      <c r="B19" s="4">
        <v>5.0810000000000004</v>
      </c>
      <c r="C19" s="4">
        <v>0.1128</v>
      </c>
      <c r="D19" s="4">
        <v>0.04</v>
      </c>
      <c r="E19" s="4">
        <v>0.03</v>
      </c>
      <c r="F19" s="4" t="s">
        <v>8</v>
      </c>
      <c r="G19" s="4"/>
      <c r="H19" s="4"/>
      <c r="J19" t="s">
        <v>52</v>
      </c>
    </row>
    <row r="20" spans="1:10">
      <c r="A20" s="5" t="s">
        <v>196</v>
      </c>
      <c r="B20" s="5">
        <v>5.08</v>
      </c>
      <c r="C20" s="5">
        <v>0.1593</v>
      </c>
      <c r="D20" s="5">
        <v>0.04</v>
      </c>
      <c r="E20" s="5">
        <v>0.03</v>
      </c>
      <c r="F20" s="5" t="s">
        <v>8</v>
      </c>
      <c r="G20" s="6" t="s">
        <v>226</v>
      </c>
      <c r="H20" s="4"/>
      <c r="J20" t="s">
        <v>217</v>
      </c>
    </row>
    <row r="21" spans="1:10">
      <c r="A21" s="5" t="s">
        <v>197</v>
      </c>
      <c r="B21" s="5">
        <v>5.0759999999999996</v>
      </c>
      <c r="C21" s="5">
        <v>0.1593</v>
      </c>
      <c r="D21" s="5">
        <v>0.04</v>
      </c>
      <c r="E21" s="5">
        <v>0.03</v>
      </c>
      <c r="F21" s="5" t="s">
        <v>8</v>
      </c>
      <c r="G21" s="6" t="s">
        <v>227</v>
      </c>
      <c r="H21" s="4"/>
      <c r="J21" t="s">
        <v>59</v>
      </c>
    </row>
    <row r="22" spans="1:10">
      <c r="A22" s="5" t="s">
        <v>198</v>
      </c>
      <c r="B22" s="5">
        <v>5.0759999999999996</v>
      </c>
      <c r="C22" s="5">
        <v>0.1532</v>
      </c>
      <c r="D22" s="5">
        <v>0.04</v>
      </c>
      <c r="E22" s="5">
        <v>0.03</v>
      </c>
      <c r="F22" s="5" t="s">
        <v>8</v>
      </c>
      <c r="G22" s="6" t="s">
        <v>228</v>
      </c>
      <c r="H22" s="4"/>
      <c r="J22" t="s">
        <v>218</v>
      </c>
    </row>
    <row r="23" spans="1:10">
      <c r="A23" s="5" t="s">
        <v>199</v>
      </c>
      <c r="B23" s="5">
        <v>5.0759999999999996</v>
      </c>
      <c r="C23" s="5">
        <v>0.1532</v>
      </c>
      <c r="D23" s="5">
        <v>0.04</v>
      </c>
      <c r="E23" s="5">
        <v>0.03</v>
      </c>
      <c r="F23" s="5" t="s">
        <v>8</v>
      </c>
      <c r="G23" s="6" t="s">
        <v>224</v>
      </c>
      <c r="H23" s="4"/>
      <c r="J23" t="s">
        <v>61</v>
      </c>
    </row>
    <row r="24" spans="1:10">
      <c r="A24" s="5" t="s">
        <v>200</v>
      </c>
      <c r="B24" s="5">
        <v>5.0759999999999996</v>
      </c>
      <c r="C24" s="5">
        <v>0.15329999999999999</v>
      </c>
      <c r="D24" s="5">
        <v>0.04</v>
      </c>
      <c r="E24" s="5">
        <v>0.03</v>
      </c>
      <c r="F24" s="5" t="s">
        <v>8</v>
      </c>
      <c r="G24" s="6" t="s">
        <v>225</v>
      </c>
      <c r="H24" s="4"/>
      <c r="J24" t="s">
        <v>62</v>
      </c>
    </row>
    <row r="25" spans="1:10">
      <c r="A25" s="5" t="s">
        <v>201</v>
      </c>
      <c r="B25" s="5">
        <v>5.0759999999999996</v>
      </c>
      <c r="C25" s="5">
        <v>0.14560000000000001</v>
      </c>
      <c r="D25" s="5">
        <v>0.04</v>
      </c>
      <c r="E25" s="5">
        <v>0.03</v>
      </c>
      <c r="F25" s="5" t="s">
        <v>8</v>
      </c>
      <c r="G25" s="5"/>
      <c r="H25" s="4"/>
      <c r="J25" t="s">
        <v>63</v>
      </c>
    </row>
    <row r="26" spans="1:10">
      <c r="A26" s="5" t="s">
        <v>202</v>
      </c>
      <c r="B26" s="5">
        <v>5.08</v>
      </c>
      <c r="C26" s="5">
        <v>0.14560000000000001</v>
      </c>
      <c r="D26" s="5">
        <v>0.03</v>
      </c>
      <c r="E26" s="5">
        <v>0.03</v>
      </c>
      <c r="F26" s="5" t="s">
        <v>8</v>
      </c>
      <c r="G26" s="5"/>
      <c r="H26" s="4"/>
      <c r="J26" t="s">
        <v>219</v>
      </c>
    </row>
    <row r="27" spans="1:10">
      <c r="A27" s="4" t="s">
        <v>203</v>
      </c>
      <c r="B27" s="4">
        <v>5.0810000000000004</v>
      </c>
      <c r="C27" s="4">
        <v>0.11310000000000001</v>
      </c>
      <c r="D27" s="4">
        <v>0.03</v>
      </c>
      <c r="E27" s="4">
        <v>0.03</v>
      </c>
      <c r="F27" s="4" t="s">
        <v>8</v>
      </c>
      <c r="G27" s="4"/>
      <c r="H27" s="4"/>
      <c r="J27" t="s">
        <v>65</v>
      </c>
    </row>
    <row r="28" spans="1:10">
      <c r="A28" s="4" t="s">
        <v>204</v>
      </c>
      <c r="B28" s="4">
        <v>5.0789999999999997</v>
      </c>
      <c r="C28" s="4">
        <v>0.11310000000000001</v>
      </c>
      <c r="D28" s="4">
        <v>0.03</v>
      </c>
      <c r="E28" s="4">
        <v>0.03</v>
      </c>
      <c r="F28" s="4" t="s">
        <v>8</v>
      </c>
      <c r="G28" s="4"/>
      <c r="H28" s="4"/>
      <c r="J28" t="s">
        <v>66</v>
      </c>
    </row>
    <row r="29" spans="1:10">
      <c r="A29" s="5" t="s">
        <v>205</v>
      </c>
      <c r="B29" s="5">
        <v>5.0789999999999997</v>
      </c>
      <c r="C29" s="5">
        <v>0.1323</v>
      </c>
      <c r="D29" s="5">
        <v>0.03</v>
      </c>
      <c r="E29" s="5">
        <v>0.03</v>
      </c>
      <c r="F29" s="5" t="s">
        <v>8</v>
      </c>
      <c r="G29" s="4"/>
      <c r="H29" s="4"/>
      <c r="J29" t="s">
        <v>220</v>
      </c>
    </row>
    <row r="30" spans="1:10">
      <c r="A30" s="4" t="s">
        <v>206</v>
      </c>
      <c r="B30" s="4">
        <v>5.0780000000000003</v>
      </c>
      <c r="C30" s="4">
        <v>0.11310000000000001</v>
      </c>
      <c r="D30" s="4">
        <v>0.03</v>
      </c>
      <c r="E30" s="4">
        <v>0.03</v>
      </c>
      <c r="F30" s="4" t="s">
        <v>8</v>
      </c>
      <c r="G30" s="4"/>
      <c r="H30" s="4"/>
      <c r="J30" t="s">
        <v>54</v>
      </c>
    </row>
    <row r="31" spans="1:10">
      <c r="A31" s="4" t="s">
        <v>207</v>
      </c>
      <c r="B31" s="4">
        <v>5.08</v>
      </c>
      <c r="C31" s="4">
        <v>0.113</v>
      </c>
      <c r="D31" s="4">
        <v>0.03</v>
      </c>
      <c r="E31" s="4">
        <v>0.03</v>
      </c>
      <c r="F31" s="4" t="s">
        <v>8</v>
      </c>
      <c r="G31" s="4"/>
      <c r="H31" s="4"/>
      <c r="J31" t="s">
        <v>71</v>
      </c>
    </row>
    <row r="32" spans="1:10">
      <c r="A32" s="4" t="s">
        <v>208</v>
      </c>
      <c r="B32" s="4">
        <v>5.08</v>
      </c>
      <c r="C32" s="4">
        <v>0.113</v>
      </c>
      <c r="D32" s="4">
        <v>0.03</v>
      </c>
      <c r="E32" s="4">
        <v>0.03</v>
      </c>
      <c r="F32" s="4" t="s">
        <v>8</v>
      </c>
      <c r="G32" s="4"/>
      <c r="H32" s="4"/>
    </row>
    <row r="33" spans="1:10">
      <c r="A33" s="4" t="s">
        <v>209</v>
      </c>
      <c r="B33" s="4">
        <v>5.0789999999999997</v>
      </c>
      <c r="C33" s="4">
        <v>0.1129</v>
      </c>
      <c r="D33" s="4">
        <v>0.03</v>
      </c>
      <c r="E33" s="4">
        <v>0.03</v>
      </c>
      <c r="F33" s="4" t="s">
        <v>8</v>
      </c>
      <c r="G33" s="4"/>
      <c r="H33" s="4"/>
      <c r="J33" t="s">
        <v>49</v>
      </c>
    </row>
    <row r="34" spans="1:10">
      <c r="A34" s="4" t="s">
        <v>210</v>
      </c>
      <c r="B34" s="4">
        <v>5.0789999999999997</v>
      </c>
      <c r="C34" s="4">
        <v>0.113</v>
      </c>
      <c r="D34" s="4">
        <v>0.03</v>
      </c>
      <c r="E34" s="4">
        <v>0.03</v>
      </c>
      <c r="F34" s="4" t="s">
        <v>8</v>
      </c>
      <c r="G34" s="4"/>
      <c r="H34" s="4"/>
      <c r="J34" t="s">
        <v>72</v>
      </c>
    </row>
    <row r="35" spans="1:10">
      <c r="A35" s="4" t="s">
        <v>211</v>
      </c>
      <c r="B35" s="4">
        <v>5.08</v>
      </c>
      <c r="C35" s="4">
        <v>0.1225</v>
      </c>
      <c r="D35" s="4">
        <v>0.03</v>
      </c>
      <c r="E35" s="4">
        <v>0.03</v>
      </c>
      <c r="F35" s="4" t="s">
        <v>8</v>
      </c>
      <c r="G35" s="4"/>
      <c r="H35" s="4"/>
      <c r="J35" t="s">
        <v>73</v>
      </c>
    </row>
    <row r="36" spans="1:10">
      <c r="A36" s="4" t="s">
        <v>212</v>
      </c>
      <c r="B36" s="4">
        <v>5.0789999999999997</v>
      </c>
      <c r="C36" s="4">
        <v>0.1129</v>
      </c>
      <c r="D36" s="4">
        <v>0.03</v>
      </c>
      <c r="E36" s="4">
        <v>0.03</v>
      </c>
      <c r="F36" s="4" t="s">
        <v>8</v>
      </c>
      <c r="G36" s="4"/>
      <c r="H36" s="4"/>
      <c r="J36" t="s">
        <v>52</v>
      </c>
    </row>
    <row r="37" spans="1:10">
      <c r="A37" s="4" t="s">
        <v>213</v>
      </c>
      <c r="B37" s="4">
        <v>5.08</v>
      </c>
      <c r="C37" s="4">
        <v>0.1129</v>
      </c>
      <c r="D37" s="4">
        <v>0.03</v>
      </c>
      <c r="E37" s="4">
        <v>0.03</v>
      </c>
      <c r="F37" s="4" t="s">
        <v>8</v>
      </c>
      <c r="G37" s="9" t="s">
        <v>376</v>
      </c>
      <c r="H37" s="4"/>
      <c r="J37" t="s">
        <v>74</v>
      </c>
    </row>
    <row r="38" spans="1:10">
      <c r="J38" t="s">
        <v>59</v>
      </c>
    </row>
    <row r="39" spans="1:10">
      <c r="J39" t="s">
        <v>75</v>
      </c>
    </row>
    <row r="40" spans="1:10">
      <c r="J40" t="s">
        <v>76</v>
      </c>
    </row>
    <row r="41" spans="1:10">
      <c r="J41" t="s">
        <v>77</v>
      </c>
    </row>
    <row r="42" spans="1:10">
      <c r="J42" t="s">
        <v>78</v>
      </c>
    </row>
    <row r="43" spans="1:10">
      <c r="J43" t="s">
        <v>79</v>
      </c>
    </row>
    <row r="44" spans="1:10">
      <c r="J44" t="s">
        <v>80</v>
      </c>
    </row>
    <row r="45" spans="1:10">
      <c r="J45" t="s">
        <v>81</v>
      </c>
    </row>
    <row r="46" spans="1:10">
      <c r="J46" t="s">
        <v>82</v>
      </c>
    </row>
    <row r="47" spans="1:10">
      <c r="J47" t="s">
        <v>83</v>
      </c>
    </row>
    <row r="48" spans="1:10">
      <c r="J48" t="s">
        <v>84</v>
      </c>
    </row>
    <row r="49" spans="10:10">
      <c r="J49" t="s">
        <v>85</v>
      </c>
    </row>
    <row r="50" spans="10:10">
      <c r="J50" t="s">
        <v>86</v>
      </c>
    </row>
    <row r="51" spans="10:10">
      <c r="J51" t="s">
        <v>87</v>
      </c>
    </row>
    <row r="52" spans="10:10">
      <c r="J52" t="s">
        <v>54</v>
      </c>
    </row>
    <row r="53" spans="10:10">
      <c r="J53" t="s">
        <v>88</v>
      </c>
    </row>
    <row r="55" spans="10:10">
      <c r="J55" t="s">
        <v>49</v>
      </c>
    </row>
    <row r="56" spans="10:10">
      <c r="J56" t="s">
        <v>89</v>
      </c>
    </row>
    <row r="57" spans="10:10">
      <c r="J57" t="s">
        <v>90</v>
      </c>
    </row>
    <row r="58" spans="10:10">
      <c r="J58" t="s">
        <v>52</v>
      </c>
    </row>
    <row r="59" spans="10:10">
      <c r="J59" t="s">
        <v>91</v>
      </c>
    </row>
    <row r="60" spans="10:10">
      <c r="J60" t="s">
        <v>54</v>
      </c>
    </row>
    <row r="61" spans="10:10">
      <c r="J61" t="s">
        <v>221</v>
      </c>
    </row>
    <row r="63" spans="10:10">
      <c r="J63" t="s">
        <v>93</v>
      </c>
    </row>
    <row r="64" spans="10:10">
      <c r="J64" t="s">
        <v>94</v>
      </c>
    </row>
    <row r="65" spans="10:10">
      <c r="J65" t="s">
        <v>95</v>
      </c>
    </row>
    <row r="66" spans="10:10">
      <c r="J66" t="s">
        <v>96</v>
      </c>
    </row>
    <row r="67" spans="10:10">
      <c r="J67" t="s">
        <v>97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1A87-914A-4FAD-87FB-B6E0201E3BF2}">
  <dimension ref="A1:N153"/>
  <sheetViews>
    <sheetView zoomScale="77" zoomScaleNormal="175" workbookViewId="0">
      <selection activeCell="H7" sqref="H7"/>
    </sheetView>
  </sheetViews>
  <sheetFormatPr baseColWidth="10" defaultRowHeight="14.4"/>
  <cols>
    <col min="7" max="7" width="20.21875" customWidth="1"/>
    <col min="8" max="8" width="43.77734375" customWidth="1"/>
  </cols>
  <sheetData>
    <row r="1" spans="1:10" ht="15" thickBot="1">
      <c r="A1" s="13" t="s">
        <v>0</v>
      </c>
      <c r="B1" s="14"/>
      <c r="C1" s="14"/>
      <c r="D1" s="14"/>
      <c r="E1" s="14"/>
      <c r="F1" s="14"/>
      <c r="G1" s="14"/>
      <c r="H1" s="15"/>
      <c r="J1" t="s">
        <v>43</v>
      </c>
    </row>
    <row r="2" spans="1:10" ht="26.4" thickBot="1">
      <c r="A2" s="1" t="s">
        <v>1</v>
      </c>
      <c r="B2" s="2" t="s">
        <v>2</v>
      </c>
      <c r="C2" s="3" t="s">
        <v>3</v>
      </c>
      <c r="D2" s="1" t="s">
        <v>4</v>
      </c>
      <c r="E2" s="1" t="s">
        <v>5</v>
      </c>
      <c r="F2" s="1" t="s">
        <v>6</v>
      </c>
      <c r="G2" s="9" t="s">
        <v>335</v>
      </c>
      <c r="H2" s="9" t="s">
        <v>379</v>
      </c>
      <c r="J2" t="s">
        <v>44</v>
      </c>
    </row>
    <row r="3" spans="1:10">
      <c r="A3" s="4" t="s">
        <v>257</v>
      </c>
      <c r="B3" s="4">
        <v>5.08</v>
      </c>
      <c r="C3" s="4">
        <v>0.1087</v>
      </c>
      <c r="D3" s="4">
        <v>0.04</v>
      </c>
      <c r="E3" s="4">
        <v>0.03</v>
      </c>
      <c r="F3" s="4" t="s">
        <v>8</v>
      </c>
      <c r="G3" s="4"/>
      <c r="H3" s="4">
        <f>AVERAGE(C41:C51)</f>
        <v>0.15307272727272728</v>
      </c>
      <c r="J3" t="s">
        <v>45</v>
      </c>
    </row>
    <row r="4" spans="1:10">
      <c r="A4" s="4" t="s">
        <v>258</v>
      </c>
      <c r="B4" s="4">
        <v>5.08</v>
      </c>
      <c r="C4" s="4">
        <v>0.1087</v>
      </c>
      <c r="D4" s="4">
        <v>0.04</v>
      </c>
      <c r="E4" s="4">
        <v>0.03</v>
      </c>
      <c r="F4" s="4" t="s">
        <v>8</v>
      </c>
      <c r="G4" s="4"/>
      <c r="H4" s="9" t="s">
        <v>380</v>
      </c>
      <c r="J4" t="s">
        <v>46</v>
      </c>
    </row>
    <row r="5" spans="1:10">
      <c r="A5" s="4" t="s">
        <v>259</v>
      </c>
      <c r="B5" s="4">
        <v>5.08</v>
      </c>
      <c r="C5" s="4">
        <v>0.1087</v>
      </c>
      <c r="D5" s="4">
        <v>0.04</v>
      </c>
      <c r="E5" s="4">
        <v>0.03</v>
      </c>
      <c r="F5" s="4" t="s">
        <v>8</v>
      </c>
      <c r="G5" s="4"/>
      <c r="H5" s="9" t="s">
        <v>378</v>
      </c>
      <c r="J5" t="s">
        <v>47</v>
      </c>
    </row>
    <row r="6" spans="1:10">
      <c r="A6" s="5" t="s">
        <v>260</v>
      </c>
      <c r="B6" s="5">
        <v>5.0789999999999997</v>
      </c>
      <c r="C6" s="5">
        <v>0.1139</v>
      </c>
      <c r="D6" s="5">
        <v>0.04</v>
      </c>
      <c r="E6" s="5">
        <v>0.03</v>
      </c>
      <c r="F6" s="5" t="s">
        <v>8</v>
      </c>
      <c r="G6" s="5" t="s">
        <v>222</v>
      </c>
      <c r="H6" s="9">
        <f>AVERAGE(C9:C40,C52:C79)</f>
        <v>0.11179166666666669</v>
      </c>
      <c r="J6" t="s">
        <v>48</v>
      </c>
    </row>
    <row r="7" spans="1:10">
      <c r="A7" s="5" t="s">
        <v>261</v>
      </c>
      <c r="B7" s="5">
        <v>5.0789999999999997</v>
      </c>
      <c r="C7" s="5">
        <v>0.11409999999999999</v>
      </c>
      <c r="D7" s="5">
        <v>0.04</v>
      </c>
      <c r="E7" s="5">
        <v>0.03</v>
      </c>
      <c r="F7" s="5" t="s">
        <v>8</v>
      </c>
      <c r="G7" s="5"/>
      <c r="H7" s="4"/>
    </row>
    <row r="8" spans="1:10">
      <c r="A8" s="5" t="s">
        <v>262</v>
      </c>
      <c r="B8" s="5">
        <v>5.0789999999999997</v>
      </c>
      <c r="C8" s="5">
        <v>0.1178</v>
      </c>
      <c r="D8" s="5">
        <v>0.04</v>
      </c>
      <c r="E8" s="5">
        <v>0.03</v>
      </c>
      <c r="F8" s="5" t="s">
        <v>8</v>
      </c>
      <c r="G8" s="5"/>
      <c r="H8" s="4"/>
      <c r="J8" t="s">
        <v>49</v>
      </c>
    </row>
    <row r="9" spans="1:10">
      <c r="A9" s="4" t="s">
        <v>263</v>
      </c>
      <c r="B9" s="4">
        <v>5.0789999999999997</v>
      </c>
      <c r="C9" s="4">
        <v>0.11169999999999999</v>
      </c>
      <c r="D9" s="4">
        <v>0.04</v>
      </c>
      <c r="E9" s="4">
        <v>0.03</v>
      </c>
      <c r="F9" s="4" t="s">
        <v>8</v>
      </c>
      <c r="G9" s="4"/>
      <c r="H9" s="4"/>
      <c r="J9" t="s">
        <v>50</v>
      </c>
    </row>
    <row r="10" spans="1:10">
      <c r="A10" s="4" t="s">
        <v>264</v>
      </c>
      <c r="B10" s="4">
        <v>5.0780000000000003</v>
      </c>
      <c r="C10" s="4">
        <v>0.11169999999999999</v>
      </c>
      <c r="D10" s="4">
        <v>0.04</v>
      </c>
      <c r="E10" s="4">
        <v>0.03</v>
      </c>
      <c r="F10" s="4" t="s">
        <v>8</v>
      </c>
      <c r="G10" s="4"/>
      <c r="H10" s="4"/>
      <c r="J10" t="s">
        <v>51</v>
      </c>
    </row>
    <row r="11" spans="1:10">
      <c r="A11" s="4" t="s">
        <v>265</v>
      </c>
      <c r="B11" s="4">
        <v>5.08</v>
      </c>
      <c r="C11" s="4">
        <v>0.11169999999999999</v>
      </c>
      <c r="D11" s="4">
        <v>0.04</v>
      </c>
      <c r="E11" s="4">
        <v>0.03</v>
      </c>
      <c r="F11" s="4" t="s">
        <v>8</v>
      </c>
      <c r="G11" s="4"/>
      <c r="H11" s="4"/>
      <c r="J11" t="s">
        <v>52</v>
      </c>
    </row>
    <row r="12" spans="1:10">
      <c r="A12" s="4" t="s">
        <v>266</v>
      </c>
      <c r="B12" s="4">
        <v>5.08</v>
      </c>
      <c r="C12" s="4">
        <v>0.1116</v>
      </c>
      <c r="D12" s="4">
        <v>0.04</v>
      </c>
      <c r="E12" s="4">
        <v>0.03</v>
      </c>
      <c r="F12" s="4" t="s">
        <v>8</v>
      </c>
      <c r="G12" s="4"/>
      <c r="H12" s="4"/>
      <c r="J12" t="s">
        <v>53</v>
      </c>
    </row>
    <row r="13" spans="1:10">
      <c r="A13" s="4" t="s">
        <v>267</v>
      </c>
      <c r="B13" s="4">
        <v>5.0789999999999997</v>
      </c>
      <c r="C13" s="4">
        <v>0.1116</v>
      </c>
      <c r="D13" s="4">
        <v>0.04</v>
      </c>
      <c r="E13" s="4">
        <v>0.03</v>
      </c>
      <c r="F13" s="4" t="s">
        <v>8</v>
      </c>
      <c r="G13" s="4"/>
      <c r="H13" s="4"/>
      <c r="J13" t="s">
        <v>54</v>
      </c>
    </row>
    <row r="14" spans="1:10">
      <c r="A14" s="4" t="s">
        <v>268</v>
      </c>
      <c r="B14" s="4">
        <v>5.0789999999999997</v>
      </c>
      <c r="C14" s="4">
        <v>0.1116</v>
      </c>
      <c r="D14" s="4">
        <v>0.04</v>
      </c>
      <c r="E14" s="4">
        <v>0.03</v>
      </c>
      <c r="F14" s="4" t="s">
        <v>8</v>
      </c>
      <c r="G14" s="4"/>
      <c r="H14" s="4"/>
      <c r="J14" t="s">
        <v>55</v>
      </c>
    </row>
    <row r="15" spans="1:10">
      <c r="A15" s="4" t="s">
        <v>269</v>
      </c>
      <c r="B15" s="4">
        <v>5.08</v>
      </c>
      <c r="C15" s="4">
        <v>0.1116</v>
      </c>
      <c r="D15" s="4">
        <v>0.04</v>
      </c>
      <c r="E15" s="4">
        <v>0.03</v>
      </c>
      <c r="F15" s="4" t="s">
        <v>8</v>
      </c>
      <c r="G15" s="4"/>
      <c r="H15" s="4"/>
    </row>
    <row r="16" spans="1:10">
      <c r="A16" s="4" t="s">
        <v>270</v>
      </c>
      <c r="B16" s="4">
        <v>5.08</v>
      </c>
      <c r="C16" s="4">
        <v>0.1116</v>
      </c>
      <c r="D16" s="4">
        <v>0.04</v>
      </c>
      <c r="E16" s="4">
        <v>0.03</v>
      </c>
      <c r="F16" s="4" t="s">
        <v>8</v>
      </c>
      <c r="G16" s="4"/>
      <c r="H16" s="4"/>
      <c r="J16" t="s">
        <v>49</v>
      </c>
    </row>
    <row r="17" spans="1:10">
      <c r="A17" s="4" t="s">
        <v>271</v>
      </c>
      <c r="B17" s="4">
        <v>5.08</v>
      </c>
      <c r="C17" s="4">
        <v>0.1116</v>
      </c>
      <c r="D17" s="4">
        <v>0.04</v>
      </c>
      <c r="E17" s="4">
        <v>0.03</v>
      </c>
      <c r="F17" s="4" t="s">
        <v>8</v>
      </c>
      <c r="G17" s="4"/>
      <c r="H17" s="4"/>
      <c r="J17" t="s">
        <v>230</v>
      </c>
    </row>
    <row r="18" spans="1:10">
      <c r="A18" s="4" t="s">
        <v>272</v>
      </c>
      <c r="B18" s="4">
        <v>5.08</v>
      </c>
      <c r="C18" s="4">
        <v>0.1116</v>
      </c>
      <c r="D18" s="4">
        <v>0.04</v>
      </c>
      <c r="E18" s="4">
        <v>0.03</v>
      </c>
      <c r="F18" s="4" t="s">
        <v>8</v>
      </c>
      <c r="G18" s="4"/>
      <c r="H18" s="4"/>
      <c r="J18" t="s">
        <v>231</v>
      </c>
    </row>
    <row r="19" spans="1:10">
      <c r="A19" s="4" t="s">
        <v>273</v>
      </c>
      <c r="B19" s="4">
        <v>5.0789999999999997</v>
      </c>
      <c r="C19" s="4">
        <v>0.1116</v>
      </c>
      <c r="D19" s="4">
        <v>0.04</v>
      </c>
      <c r="E19" s="4">
        <v>0.03</v>
      </c>
      <c r="F19" s="4" t="s">
        <v>8</v>
      </c>
      <c r="G19" s="4"/>
      <c r="H19" s="4"/>
      <c r="J19" t="s">
        <v>52</v>
      </c>
    </row>
    <row r="20" spans="1:10">
      <c r="A20" s="4" t="s">
        <v>274</v>
      </c>
      <c r="B20" s="4">
        <v>5.08</v>
      </c>
      <c r="C20" s="4">
        <v>0.1116</v>
      </c>
      <c r="D20" s="4">
        <v>0.04</v>
      </c>
      <c r="E20" s="4">
        <v>0.03</v>
      </c>
      <c r="F20" s="4" t="s">
        <v>8</v>
      </c>
      <c r="G20" s="4"/>
      <c r="H20" s="4"/>
      <c r="J20" t="s">
        <v>232</v>
      </c>
    </row>
    <row r="21" spans="1:10">
      <c r="A21" s="4" t="s">
        <v>275</v>
      </c>
      <c r="B21" s="4">
        <v>5.08</v>
      </c>
      <c r="C21" s="4">
        <v>0.1116</v>
      </c>
      <c r="D21" s="4">
        <v>0.03</v>
      </c>
      <c r="E21" s="4">
        <v>0.03</v>
      </c>
      <c r="F21" s="4" t="s">
        <v>8</v>
      </c>
      <c r="G21" s="4"/>
      <c r="H21" s="4"/>
      <c r="J21" t="s">
        <v>59</v>
      </c>
    </row>
    <row r="22" spans="1:10">
      <c r="A22" s="4" t="s">
        <v>276</v>
      </c>
      <c r="B22" s="4">
        <v>5.08</v>
      </c>
      <c r="C22" s="4">
        <v>0.1116</v>
      </c>
      <c r="D22" s="4">
        <v>0.03</v>
      </c>
      <c r="E22" s="4">
        <v>0.02</v>
      </c>
      <c r="F22" s="4" t="s">
        <v>8</v>
      </c>
      <c r="G22" s="4"/>
      <c r="H22" s="4"/>
      <c r="J22" t="s">
        <v>233</v>
      </c>
    </row>
    <row r="23" spans="1:10">
      <c r="A23" s="4" t="s">
        <v>277</v>
      </c>
      <c r="B23" s="4">
        <v>5.08</v>
      </c>
      <c r="C23" s="4">
        <v>0.1116</v>
      </c>
      <c r="D23" s="4">
        <v>0.03</v>
      </c>
      <c r="E23" s="4">
        <v>0.03</v>
      </c>
      <c r="F23" s="4" t="s">
        <v>8</v>
      </c>
      <c r="G23" s="4"/>
      <c r="H23" s="4"/>
      <c r="J23" t="s">
        <v>61</v>
      </c>
    </row>
    <row r="24" spans="1:10">
      <c r="A24" s="4" t="s">
        <v>278</v>
      </c>
      <c r="B24" s="4">
        <v>5.08</v>
      </c>
      <c r="C24" s="4">
        <v>0.1116</v>
      </c>
      <c r="D24" s="4">
        <v>0.03</v>
      </c>
      <c r="E24" s="4">
        <v>0.03</v>
      </c>
      <c r="F24" s="4" t="s">
        <v>8</v>
      </c>
      <c r="G24" s="4"/>
      <c r="H24" s="4"/>
      <c r="J24" t="s">
        <v>234</v>
      </c>
    </row>
    <row r="25" spans="1:10">
      <c r="A25" s="4" t="s">
        <v>279</v>
      </c>
      <c r="B25" s="4">
        <v>5.077</v>
      </c>
      <c r="C25" s="4">
        <v>0.1116</v>
      </c>
      <c r="D25" s="4">
        <v>0.03</v>
      </c>
      <c r="E25" s="4">
        <v>0.03</v>
      </c>
      <c r="F25" s="4" t="s">
        <v>8</v>
      </c>
      <c r="G25" s="4"/>
      <c r="H25" s="4"/>
      <c r="J25" t="s">
        <v>63</v>
      </c>
    </row>
    <row r="26" spans="1:10">
      <c r="A26" s="4" t="s">
        <v>280</v>
      </c>
      <c r="B26" s="4">
        <v>5.08</v>
      </c>
      <c r="C26" s="4">
        <v>0.1116</v>
      </c>
      <c r="D26" s="4">
        <v>0.03</v>
      </c>
      <c r="E26" s="4">
        <v>0.03</v>
      </c>
      <c r="F26" s="4" t="s">
        <v>8</v>
      </c>
      <c r="G26" s="4"/>
      <c r="H26" s="4"/>
      <c r="J26" t="s">
        <v>235</v>
      </c>
    </row>
    <row r="27" spans="1:10">
      <c r="A27" s="4" t="s">
        <v>281</v>
      </c>
      <c r="B27" s="4">
        <v>5.08</v>
      </c>
      <c r="C27" s="4">
        <v>0.1116</v>
      </c>
      <c r="D27" s="4">
        <v>0.03</v>
      </c>
      <c r="E27" s="4">
        <v>0.02</v>
      </c>
      <c r="F27" s="4" t="s">
        <v>8</v>
      </c>
      <c r="G27" s="4"/>
      <c r="H27" s="4"/>
      <c r="J27" t="s">
        <v>236</v>
      </c>
    </row>
    <row r="28" spans="1:10">
      <c r="A28" s="4" t="s">
        <v>282</v>
      </c>
      <c r="B28" s="4">
        <v>5.08</v>
      </c>
      <c r="C28" s="4">
        <v>0.1116</v>
      </c>
      <c r="D28" s="4">
        <v>0.03</v>
      </c>
      <c r="E28" s="4">
        <v>0.03</v>
      </c>
      <c r="F28" s="4" t="s">
        <v>8</v>
      </c>
      <c r="G28" s="4"/>
      <c r="H28" s="4"/>
      <c r="J28" t="s">
        <v>66</v>
      </c>
    </row>
    <row r="29" spans="1:10">
      <c r="A29" s="4" t="s">
        <v>283</v>
      </c>
      <c r="B29" s="4">
        <v>5.0789999999999997</v>
      </c>
      <c r="C29" s="4">
        <v>0.1116</v>
      </c>
      <c r="D29" s="4">
        <v>0.03</v>
      </c>
      <c r="E29" s="4">
        <v>0.03</v>
      </c>
      <c r="F29" s="4" t="s">
        <v>8</v>
      </c>
      <c r="G29" s="4"/>
      <c r="H29" s="4"/>
      <c r="J29" t="s">
        <v>237</v>
      </c>
    </row>
    <row r="30" spans="1:10">
      <c r="A30" s="4" t="s">
        <v>284</v>
      </c>
      <c r="B30" s="4">
        <v>5.08</v>
      </c>
      <c r="C30" s="4">
        <v>0.1116</v>
      </c>
      <c r="D30" s="4">
        <v>0.03</v>
      </c>
      <c r="E30" s="4">
        <v>0.03</v>
      </c>
      <c r="F30" s="4" t="s">
        <v>8</v>
      </c>
      <c r="G30" s="4"/>
      <c r="H30" s="4"/>
      <c r="J30" t="s">
        <v>63</v>
      </c>
    </row>
    <row r="31" spans="1:10">
      <c r="A31" s="4" t="s">
        <v>285</v>
      </c>
      <c r="B31" s="4">
        <v>5.0789999999999997</v>
      </c>
      <c r="C31" s="4">
        <v>0.1116</v>
      </c>
      <c r="D31" s="4">
        <v>0.03</v>
      </c>
      <c r="E31" s="4">
        <v>0.03</v>
      </c>
      <c r="F31" s="4" t="s">
        <v>8</v>
      </c>
      <c r="G31" s="4"/>
      <c r="H31" s="4"/>
      <c r="J31" t="s">
        <v>238</v>
      </c>
    </row>
    <row r="32" spans="1:10">
      <c r="A32" s="4" t="s">
        <v>286</v>
      </c>
      <c r="B32" s="4">
        <v>5.0789999999999997</v>
      </c>
      <c r="C32" s="4">
        <v>0.1116</v>
      </c>
      <c r="D32" s="4">
        <v>0.03</v>
      </c>
      <c r="E32" s="4">
        <v>0.03</v>
      </c>
      <c r="F32" s="4" t="s">
        <v>8</v>
      </c>
      <c r="G32" s="4"/>
      <c r="H32" s="4"/>
      <c r="J32" t="s">
        <v>69</v>
      </c>
    </row>
    <row r="33" spans="1:10">
      <c r="A33" s="4" t="s">
        <v>287</v>
      </c>
      <c r="B33" s="4">
        <v>5.0789999999999997</v>
      </c>
      <c r="C33" s="4">
        <v>0.1116</v>
      </c>
      <c r="D33" s="4">
        <v>0.03</v>
      </c>
      <c r="E33" s="4">
        <v>0.03</v>
      </c>
      <c r="F33" s="4" t="s">
        <v>8</v>
      </c>
      <c r="G33" s="4"/>
      <c r="H33" s="4"/>
      <c r="J33" t="s">
        <v>239</v>
      </c>
    </row>
    <row r="34" spans="1:10">
      <c r="A34" s="4" t="s">
        <v>288</v>
      </c>
      <c r="B34" s="4">
        <v>5.0789999999999997</v>
      </c>
      <c r="C34" s="4">
        <v>0.1116</v>
      </c>
      <c r="D34" s="4">
        <v>0.03</v>
      </c>
      <c r="E34" s="4">
        <v>0.03</v>
      </c>
      <c r="F34" s="4" t="s">
        <v>8</v>
      </c>
      <c r="G34" s="4"/>
      <c r="H34" s="4"/>
      <c r="J34" t="s">
        <v>54</v>
      </c>
    </row>
    <row r="35" spans="1:10">
      <c r="A35" s="4" t="s">
        <v>289</v>
      </c>
      <c r="B35" s="4">
        <v>5.0789999999999997</v>
      </c>
      <c r="C35" s="4">
        <v>0.1116</v>
      </c>
      <c r="D35" s="4">
        <v>0.03</v>
      </c>
      <c r="E35" s="4">
        <v>0.03</v>
      </c>
      <c r="F35" s="4" t="s">
        <v>8</v>
      </c>
      <c r="G35" s="4"/>
      <c r="H35" s="4"/>
      <c r="J35" t="s">
        <v>240</v>
      </c>
    </row>
    <row r="36" spans="1:10">
      <c r="A36" s="4" t="s">
        <v>290</v>
      </c>
      <c r="B36" s="4">
        <v>5.0789999999999997</v>
      </c>
      <c r="C36" s="4">
        <v>0.1116</v>
      </c>
      <c r="D36" s="4">
        <v>0.03</v>
      </c>
      <c r="E36" s="4">
        <v>0.03</v>
      </c>
      <c r="F36" s="4" t="s">
        <v>8</v>
      </c>
      <c r="G36" s="4"/>
      <c r="H36" s="4"/>
    </row>
    <row r="37" spans="1:10">
      <c r="A37" s="4" t="s">
        <v>291</v>
      </c>
      <c r="B37" s="4">
        <v>5.0789999999999997</v>
      </c>
      <c r="C37" s="4">
        <v>0.11169999999999999</v>
      </c>
      <c r="D37" s="4">
        <v>0.04</v>
      </c>
      <c r="E37" s="4">
        <v>0.03</v>
      </c>
      <c r="F37" s="4" t="s">
        <v>8</v>
      </c>
      <c r="G37" s="4"/>
      <c r="H37" s="4"/>
      <c r="J37" t="s">
        <v>49</v>
      </c>
    </row>
    <row r="38" spans="1:10">
      <c r="A38" s="4" t="s">
        <v>292</v>
      </c>
      <c r="B38" s="4">
        <v>5.0789999999999997</v>
      </c>
      <c r="C38" s="4">
        <v>0.1118</v>
      </c>
      <c r="D38" s="4">
        <v>0.03</v>
      </c>
      <c r="E38" s="4">
        <v>0.02</v>
      </c>
      <c r="F38" s="4" t="s">
        <v>8</v>
      </c>
      <c r="G38" s="4"/>
      <c r="H38" s="4"/>
      <c r="J38" t="s">
        <v>241</v>
      </c>
    </row>
    <row r="39" spans="1:10">
      <c r="A39" s="4" t="s">
        <v>293</v>
      </c>
      <c r="B39" s="4">
        <v>5.0789999999999997</v>
      </c>
      <c r="C39" s="4">
        <v>0.11169999999999999</v>
      </c>
      <c r="D39" s="4">
        <v>0.03</v>
      </c>
      <c r="E39" s="4">
        <v>0.03</v>
      </c>
      <c r="F39" s="4" t="s">
        <v>8</v>
      </c>
      <c r="G39" s="4"/>
      <c r="H39" s="4"/>
      <c r="J39" t="s">
        <v>242</v>
      </c>
    </row>
    <row r="40" spans="1:10">
      <c r="A40" s="4" t="s">
        <v>294</v>
      </c>
      <c r="B40" s="4">
        <v>5.0789999999999997</v>
      </c>
      <c r="C40" s="4">
        <v>0.11169999999999999</v>
      </c>
      <c r="D40" s="4">
        <v>0.04</v>
      </c>
      <c r="E40" s="4">
        <v>0.03</v>
      </c>
      <c r="F40" s="4" t="s">
        <v>8</v>
      </c>
      <c r="G40" s="4"/>
      <c r="H40" s="4"/>
      <c r="J40" t="s">
        <v>52</v>
      </c>
    </row>
    <row r="41" spans="1:10">
      <c r="A41" s="5" t="s">
        <v>295</v>
      </c>
      <c r="B41" s="5">
        <v>5.0750000000000002</v>
      </c>
      <c r="C41" s="5">
        <v>0.15579999999999999</v>
      </c>
      <c r="D41" s="5">
        <v>0.04</v>
      </c>
      <c r="E41" s="5">
        <v>0.03</v>
      </c>
      <c r="F41" s="5" t="s">
        <v>8</v>
      </c>
      <c r="G41" s="6" t="s">
        <v>226</v>
      </c>
      <c r="H41" s="4"/>
      <c r="J41" t="s">
        <v>243</v>
      </c>
    </row>
    <row r="42" spans="1:10">
      <c r="A42" s="5" t="s">
        <v>296</v>
      </c>
      <c r="B42" s="5">
        <v>5.0750000000000002</v>
      </c>
      <c r="C42" s="5">
        <v>0.15210000000000001</v>
      </c>
      <c r="D42" s="5">
        <v>0.04</v>
      </c>
      <c r="E42" s="5">
        <v>0.03</v>
      </c>
      <c r="F42" s="5" t="s">
        <v>8</v>
      </c>
      <c r="G42" s="6" t="s">
        <v>227</v>
      </c>
      <c r="H42" s="4"/>
      <c r="J42" t="s">
        <v>59</v>
      </c>
    </row>
    <row r="43" spans="1:10">
      <c r="A43" s="5" t="s">
        <v>297</v>
      </c>
      <c r="B43" s="5">
        <v>5.0750000000000002</v>
      </c>
      <c r="C43" s="5">
        <v>0.15210000000000001</v>
      </c>
      <c r="D43" s="5">
        <v>0.04</v>
      </c>
      <c r="E43" s="5">
        <v>0.03</v>
      </c>
      <c r="F43" s="5" t="s">
        <v>8</v>
      </c>
      <c r="G43" s="6" t="s">
        <v>228</v>
      </c>
      <c r="H43" s="4"/>
      <c r="J43" t="s">
        <v>244</v>
      </c>
    </row>
    <row r="44" spans="1:10">
      <c r="A44" s="5" t="s">
        <v>298</v>
      </c>
      <c r="B44" s="5">
        <v>5.0750000000000002</v>
      </c>
      <c r="C44" s="5">
        <v>0.1522</v>
      </c>
      <c r="D44" s="5">
        <v>0.04</v>
      </c>
      <c r="E44" s="5">
        <v>0.03</v>
      </c>
      <c r="F44" s="5" t="s">
        <v>8</v>
      </c>
      <c r="G44" s="6" t="s">
        <v>336</v>
      </c>
      <c r="H44" s="4"/>
      <c r="J44" t="s">
        <v>76</v>
      </c>
    </row>
    <row r="45" spans="1:10">
      <c r="A45" s="5" t="s">
        <v>299</v>
      </c>
      <c r="B45" s="5">
        <v>5.0739999999999998</v>
      </c>
      <c r="C45" s="5">
        <v>0.1522</v>
      </c>
      <c r="D45" s="5">
        <v>0.04</v>
      </c>
      <c r="E45" s="5">
        <v>0.03</v>
      </c>
      <c r="F45" s="5" t="s">
        <v>8</v>
      </c>
      <c r="G45" s="6"/>
      <c r="H45" s="4"/>
      <c r="J45" t="s">
        <v>245</v>
      </c>
    </row>
    <row r="46" spans="1:10">
      <c r="A46" s="5" t="s">
        <v>300</v>
      </c>
      <c r="B46" s="5">
        <v>5.0750000000000002</v>
      </c>
      <c r="C46" s="5">
        <v>0.15770000000000001</v>
      </c>
      <c r="D46" s="5">
        <v>0.04</v>
      </c>
      <c r="E46" s="5">
        <v>0.03</v>
      </c>
      <c r="F46" s="5" t="s">
        <v>8</v>
      </c>
      <c r="G46" s="5"/>
      <c r="H46" s="4"/>
      <c r="J46" t="s">
        <v>246</v>
      </c>
    </row>
    <row r="47" spans="1:10">
      <c r="A47" s="5" t="s">
        <v>301</v>
      </c>
      <c r="B47" s="5">
        <v>5.0750000000000002</v>
      </c>
      <c r="C47" s="5">
        <v>0.15240000000000001</v>
      </c>
      <c r="D47" s="5">
        <v>0.03</v>
      </c>
      <c r="E47" s="5">
        <v>0.03</v>
      </c>
      <c r="F47" s="5" t="s">
        <v>8</v>
      </c>
      <c r="G47" s="5"/>
      <c r="H47" s="4"/>
      <c r="J47" t="s">
        <v>79</v>
      </c>
    </row>
    <row r="48" spans="1:10">
      <c r="A48" s="5" t="s">
        <v>302</v>
      </c>
      <c r="B48" s="5">
        <v>5.0750000000000002</v>
      </c>
      <c r="C48" s="5">
        <v>0.15240000000000001</v>
      </c>
      <c r="D48" s="5">
        <v>0.03</v>
      </c>
      <c r="E48" s="5">
        <v>0.03</v>
      </c>
      <c r="F48" s="5" t="s">
        <v>8</v>
      </c>
      <c r="G48" s="5"/>
      <c r="H48" s="4"/>
      <c r="J48" t="s">
        <v>247</v>
      </c>
    </row>
    <row r="49" spans="1:14">
      <c r="A49" s="5" t="s">
        <v>303</v>
      </c>
      <c r="B49" s="5">
        <v>5.0739999999999998</v>
      </c>
      <c r="C49" s="5">
        <v>0.15229999999999999</v>
      </c>
      <c r="D49" s="5">
        <v>0.03</v>
      </c>
      <c r="E49" s="5">
        <v>0.03</v>
      </c>
      <c r="F49" s="5" t="s">
        <v>8</v>
      </c>
      <c r="G49" s="5"/>
      <c r="H49" s="4"/>
      <c r="J49" t="s">
        <v>81</v>
      </c>
    </row>
    <row r="50" spans="1:14">
      <c r="A50" s="5" t="s">
        <v>304</v>
      </c>
      <c r="B50" s="5">
        <v>5.0750000000000002</v>
      </c>
      <c r="C50" s="5">
        <v>0.15229999999999999</v>
      </c>
      <c r="D50" s="5">
        <v>0.03</v>
      </c>
      <c r="E50" s="5">
        <v>0.03</v>
      </c>
      <c r="F50" s="5" t="s">
        <v>8</v>
      </c>
      <c r="G50" s="5"/>
      <c r="H50" s="4"/>
      <c r="J50" t="s">
        <v>248</v>
      </c>
    </row>
    <row r="51" spans="1:14">
      <c r="A51" s="5" t="s">
        <v>305</v>
      </c>
      <c r="B51" s="5">
        <v>5.0750000000000002</v>
      </c>
      <c r="C51" s="5">
        <v>0.15229999999999999</v>
      </c>
      <c r="D51" s="5">
        <v>0.03</v>
      </c>
      <c r="E51" s="5">
        <v>0.03</v>
      </c>
      <c r="F51" s="5" t="s">
        <v>8</v>
      </c>
      <c r="G51" s="5"/>
      <c r="H51" s="4"/>
      <c r="J51" t="s">
        <v>249</v>
      </c>
    </row>
    <row r="52" spans="1:14">
      <c r="A52" s="4" t="s">
        <v>306</v>
      </c>
      <c r="B52" s="4">
        <v>5.0750000000000002</v>
      </c>
      <c r="C52" s="4">
        <v>0.1125</v>
      </c>
      <c r="D52" s="4">
        <v>0.04</v>
      </c>
      <c r="E52" s="4">
        <v>0.03</v>
      </c>
      <c r="F52" s="4" t="s">
        <v>8</v>
      </c>
      <c r="G52" s="4"/>
      <c r="H52" s="4"/>
      <c r="J52" t="s">
        <v>86</v>
      </c>
    </row>
    <row r="53" spans="1:14">
      <c r="A53" s="4" t="s">
        <v>307</v>
      </c>
      <c r="B53" s="4">
        <v>5.0789999999999997</v>
      </c>
      <c r="C53" s="4">
        <v>0.1123</v>
      </c>
      <c r="D53" s="4">
        <v>0.04</v>
      </c>
      <c r="E53" s="4">
        <v>0.03</v>
      </c>
      <c r="F53" s="4" t="s">
        <v>8</v>
      </c>
      <c r="G53" s="4"/>
      <c r="H53" s="4"/>
      <c r="J53" t="s">
        <v>250</v>
      </c>
    </row>
    <row r="54" spans="1:14">
      <c r="A54" s="4" t="s">
        <v>308</v>
      </c>
      <c r="B54" s="4">
        <v>5.0789999999999997</v>
      </c>
      <c r="C54" s="4">
        <v>0.1123</v>
      </c>
      <c r="D54" s="4">
        <v>0.04</v>
      </c>
      <c r="E54" s="4">
        <v>0.03</v>
      </c>
      <c r="F54" s="4" t="s">
        <v>8</v>
      </c>
      <c r="G54" s="4"/>
      <c r="H54" s="4"/>
      <c r="J54" t="s">
        <v>54</v>
      </c>
    </row>
    <row r="55" spans="1:14">
      <c r="A55" s="4" t="s">
        <v>309</v>
      </c>
      <c r="B55" s="4">
        <v>5.0789999999999997</v>
      </c>
      <c r="C55" s="4">
        <v>0.1123</v>
      </c>
      <c r="D55" s="4">
        <v>0.04</v>
      </c>
      <c r="E55" s="4">
        <v>0.03</v>
      </c>
      <c r="F55" s="4" t="s">
        <v>8</v>
      </c>
      <c r="G55" s="4"/>
      <c r="H55" s="4"/>
      <c r="J55" t="s">
        <v>251</v>
      </c>
    </row>
    <row r="56" spans="1:14">
      <c r="A56" s="4" t="s">
        <v>310</v>
      </c>
      <c r="B56" s="4">
        <v>5.08</v>
      </c>
      <c r="C56" s="4">
        <v>0.11219999999999999</v>
      </c>
      <c r="D56" s="4">
        <v>0.04</v>
      </c>
      <c r="E56" s="4">
        <v>0.03</v>
      </c>
      <c r="F56" s="4" t="s">
        <v>8</v>
      </c>
      <c r="G56" s="4"/>
      <c r="H56" s="4"/>
    </row>
    <row r="57" spans="1:14">
      <c r="A57" s="4" t="s">
        <v>311</v>
      </c>
      <c r="B57" s="4">
        <v>5.08</v>
      </c>
      <c r="C57" s="4">
        <v>0.11210000000000001</v>
      </c>
      <c r="D57" s="4">
        <v>0.04</v>
      </c>
      <c r="E57" s="4">
        <v>0.03</v>
      </c>
      <c r="F57" s="4" t="s">
        <v>8</v>
      </c>
      <c r="G57" s="4"/>
      <c r="H57" s="4"/>
      <c r="J57" t="s">
        <v>49</v>
      </c>
    </row>
    <row r="58" spans="1:14">
      <c r="A58" s="4" t="s">
        <v>312</v>
      </c>
      <c r="B58" s="4">
        <v>5.0789999999999997</v>
      </c>
      <c r="C58" s="4">
        <v>0.11210000000000001</v>
      </c>
      <c r="D58" s="4">
        <v>0.04</v>
      </c>
      <c r="E58" s="4">
        <v>0.03</v>
      </c>
      <c r="F58" s="4" t="s">
        <v>8</v>
      </c>
      <c r="G58" s="4"/>
      <c r="H58" s="4"/>
      <c r="J58" t="s">
        <v>252</v>
      </c>
    </row>
    <row r="59" spans="1:14">
      <c r="A59" s="4" t="s">
        <v>313</v>
      </c>
      <c r="B59" s="4">
        <v>5.0789999999999997</v>
      </c>
      <c r="C59" s="4">
        <v>0.11210000000000001</v>
      </c>
      <c r="D59" s="4">
        <v>0.04</v>
      </c>
      <c r="E59" s="4">
        <v>0.03</v>
      </c>
      <c r="F59" s="4" t="s">
        <v>8</v>
      </c>
      <c r="G59" s="4"/>
      <c r="H59" s="4"/>
      <c r="J59" t="s">
        <v>253</v>
      </c>
    </row>
    <row r="60" spans="1:14">
      <c r="A60" s="4" t="s">
        <v>314</v>
      </c>
      <c r="B60" s="4">
        <v>5.08</v>
      </c>
      <c r="C60" s="4">
        <v>0.11210000000000001</v>
      </c>
      <c r="D60" s="4">
        <v>0.04</v>
      </c>
      <c r="E60" s="4">
        <v>0.03</v>
      </c>
      <c r="F60" s="4" t="s">
        <v>8</v>
      </c>
      <c r="G60" s="4"/>
      <c r="H60" s="4"/>
      <c r="J60" t="s">
        <v>52</v>
      </c>
    </row>
    <row r="61" spans="1:14">
      <c r="A61" s="4" t="s">
        <v>315</v>
      </c>
      <c r="B61" s="4">
        <v>5.08</v>
      </c>
      <c r="C61" s="4">
        <v>0.11210000000000001</v>
      </c>
      <c r="D61" s="4">
        <v>0.04</v>
      </c>
      <c r="E61" s="4">
        <v>0.03</v>
      </c>
      <c r="F61" s="4" t="s">
        <v>8</v>
      </c>
      <c r="G61" s="4"/>
      <c r="H61" s="4"/>
      <c r="J61" t="s">
        <v>254</v>
      </c>
    </row>
    <row r="62" spans="1:14">
      <c r="A62" s="4" t="s">
        <v>316</v>
      </c>
      <c r="B62" s="4">
        <v>5.08</v>
      </c>
      <c r="C62" s="4">
        <v>0.11210000000000001</v>
      </c>
      <c r="D62" s="4">
        <v>0.04</v>
      </c>
      <c r="E62" s="4">
        <v>0.03</v>
      </c>
      <c r="F62" s="4" t="s">
        <v>8</v>
      </c>
      <c r="G62" s="4"/>
      <c r="H62" s="4"/>
      <c r="J62" t="s">
        <v>59</v>
      </c>
    </row>
    <row r="63" spans="1:14">
      <c r="A63" s="4" t="s">
        <v>317</v>
      </c>
      <c r="B63" s="4">
        <v>5.08</v>
      </c>
      <c r="C63" s="4">
        <v>0.11210000000000001</v>
      </c>
      <c r="D63" s="4">
        <v>0.04</v>
      </c>
      <c r="E63" s="4">
        <v>0.03</v>
      </c>
      <c r="F63" s="4" t="s">
        <v>8</v>
      </c>
      <c r="G63" s="4"/>
      <c r="H63" s="4"/>
      <c r="J63" t="s">
        <v>255</v>
      </c>
    </row>
    <row r="64" spans="1:14">
      <c r="A64" s="4" t="s">
        <v>318</v>
      </c>
      <c r="B64" s="4">
        <v>5.0789999999999997</v>
      </c>
      <c r="C64" s="4">
        <v>0.11210000000000001</v>
      </c>
      <c r="D64" s="4">
        <v>0.04</v>
      </c>
      <c r="E64" s="4">
        <v>0.03</v>
      </c>
      <c r="F64" s="4" t="s">
        <v>8</v>
      </c>
      <c r="G64" s="4"/>
      <c r="H64" s="4"/>
      <c r="J64" t="s">
        <v>54</v>
      </c>
      <c r="N64" s="8"/>
    </row>
    <row r="65" spans="1:10">
      <c r="A65" s="4" t="s">
        <v>319</v>
      </c>
      <c r="B65" s="4">
        <v>5.0789999999999997</v>
      </c>
      <c r="C65" s="4">
        <v>0.11210000000000001</v>
      </c>
      <c r="D65" s="4">
        <v>0.04</v>
      </c>
      <c r="E65" s="4">
        <v>0.03</v>
      </c>
      <c r="F65" s="4" t="s">
        <v>8</v>
      </c>
      <c r="G65" s="4"/>
      <c r="H65" s="4"/>
      <c r="J65" t="s">
        <v>256</v>
      </c>
    </row>
    <row r="66" spans="1:10">
      <c r="A66" s="4" t="s">
        <v>320</v>
      </c>
      <c r="B66" s="4">
        <v>5.0789999999999997</v>
      </c>
      <c r="C66" s="4">
        <v>0.11210000000000001</v>
      </c>
      <c r="D66" s="4">
        <v>0.04</v>
      </c>
      <c r="E66" s="4">
        <v>0.03</v>
      </c>
      <c r="F66" s="4" t="s">
        <v>8</v>
      </c>
      <c r="G66" s="4"/>
      <c r="H66" s="4"/>
    </row>
    <row r="67" spans="1:10">
      <c r="A67" s="4" t="s">
        <v>321</v>
      </c>
      <c r="B67" s="4">
        <v>5.0789999999999997</v>
      </c>
      <c r="C67" s="4">
        <v>0.11210000000000001</v>
      </c>
      <c r="D67" s="4">
        <v>0.03</v>
      </c>
      <c r="E67" s="4">
        <v>0.03</v>
      </c>
      <c r="F67" s="4" t="s">
        <v>8</v>
      </c>
      <c r="G67" s="4"/>
      <c r="H67" s="4"/>
      <c r="J67" t="s">
        <v>93</v>
      </c>
    </row>
    <row r="68" spans="1:10">
      <c r="A68" s="4" t="s">
        <v>322</v>
      </c>
      <c r="B68" s="4">
        <v>5.0789999999999997</v>
      </c>
      <c r="C68" s="4">
        <v>0.112</v>
      </c>
      <c r="D68" s="4">
        <v>0.03</v>
      </c>
      <c r="E68" s="4">
        <v>0.03</v>
      </c>
      <c r="F68" s="4" t="s">
        <v>8</v>
      </c>
      <c r="G68" s="4"/>
      <c r="H68" s="4"/>
      <c r="J68" t="s">
        <v>94</v>
      </c>
    </row>
    <row r="69" spans="1:10">
      <c r="A69" s="4" t="s">
        <v>323</v>
      </c>
      <c r="B69" s="4">
        <v>5.0789999999999997</v>
      </c>
      <c r="C69" s="4">
        <v>0.112</v>
      </c>
      <c r="D69" s="4">
        <v>0.03</v>
      </c>
      <c r="E69" s="4">
        <v>0.03</v>
      </c>
      <c r="F69" s="4" t="s">
        <v>8</v>
      </c>
      <c r="G69" s="4"/>
      <c r="H69" s="4"/>
      <c r="J69" t="s">
        <v>95</v>
      </c>
    </row>
    <row r="70" spans="1:10">
      <c r="A70" s="4" t="s">
        <v>324</v>
      </c>
      <c r="B70" s="4">
        <v>5.0780000000000003</v>
      </c>
      <c r="C70" s="4">
        <v>0.112</v>
      </c>
      <c r="D70" s="4">
        <v>0.03</v>
      </c>
      <c r="E70" s="4">
        <v>0.03</v>
      </c>
      <c r="F70" s="4" t="s">
        <v>8</v>
      </c>
      <c r="G70" s="4"/>
      <c r="H70" s="4"/>
      <c r="J70" t="s">
        <v>96</v>
      </c>
    </row>
    <row r="71" spans="1:10">
      <c r="A71" s="4" t="s">
        <v>325</v>
      </c>
      <c r="B71" s="4">
        <v>5.08</v>
      </c>
      <c r="C71" s="4">
        <v>0.1119</v>
      </c>
      <c r="D71" s="4">
        <v>0.03</v>
      </c>
      <c r="E71" s="4">
        <v>0.02</v>
      </c>
      <c r="F71" s="4" t="s">
        <v>8</v>
      </c>
      <c r="G71" s="4"/>
      <c r="H71" s="4"/>
      <c r="J71" t="s">
        <v>97</v>
      </c>
    </row>
    <row r="72" spans="1:10">
      <c r="A72" s="4" t="s">
        <v>326</v>
      </c>
      <c r="B72" s="4">
        <v>5.08</v>
      </c>
      <c r="C72" s="4">
        <v>0.1119</v>
      </c>
      <c r="D72" s="4">
        <v>0.04</v>
      </c>
      <c r="E72" s="4">
        <v>0.03</v>
      </c>
      <c r="F72" s="4" t="s">
        <v>8</v>
      </c>
      <c r="G72" s="4"/>
      <c r="H72" s="4"/>
    </row>
    <row r="73" spans="1:10">
      <c r="A73" s="4" t="s">
        <v>327</v>
      </c>
      <c r="B73" s="4">
        <v>5.08</v>
      </c>
      <c r="C73" s="4">
        <v>0.112</v>
      </c>
      <c r="D73" s="4">
        <v>0.04</v>
      </c>
      <c r="E73" s="4">
        <v>0.03</v>
      </c>
      <c r="F73" s="4" t="s">
        <v>8</v>
      </c>
      <c r="G73" s="4"/>
      <c r="H73" s="4"/>
    </row>
    <row r="74" spans="1:10">
      <c r="A74" s="4" t="s">
        <v>328</v>
      </c>
      <c r="B74" s="4">
        <v>5.0789999999999997</v>
      </c>
      <c r="C74" s="4">
        <v>0.1119</v>
      </c>
      <c r="D74" s="4">
        <v>0.04</v>
      </c>
      <c r="E74" s="4">
        <v>0.03</v>
      </c>
      <c r="F74" s="4" t="s">
        <v>8</v>
      </c>
      <c r="G74" s="4"/>
      <c r="H74" s="4"/>
    </row>
    <row r="75" spans="1:10">
      <c r="A75" s="4" t="s">
        <v>329</v>
      </c>
      <c r="B75" s="4">
        <v>5.08</v>
      </c>
      <c r="C75" s="4">
        <v>0.1119</v>
      </c>
      <c r="D75" s="4">
        <v>0.04</v>
      </c>
      <c r="E75" s="4">
        <v>0.03</v>
      </c>
      <c r="F75" s="4" t="s">
        <v>8</v>
      </c>
      <c r="G75" s="4"/>
      <c r="H75" s="4"/>
    </row>
    <row r="76" spans="1:10">
      <c r="A76" s="4" t="s">
        <v>330</v>
      </c>
      <c r="B76" s="4">
        <v>5.08</v>
      </c>
      <c r="C76" s="4">
        <v>0.112</v>
      </c>
      <c r="D76" s="4">
        <v>0.04</v>
      </c>
      <c r="E76" s="4">
        <v>0.03</v>
      </c>
      <c r="F76" s="4" t="s">
        <v>8</v>
      </c>
      <c r="G76" s="4"/>
      <c r="H76" s="4"/>
    </row>
    <row r="77" spans="1:10">
      <c r="A77" s="4" t="s">
        <v>331</v>
      </c>
      <c r="B77" s="4">
        <v>5.08</v>
      </c>
      <c r="C77" s="4">
        <v>0.112</v>
      </c>
      <c r="D77" s="4">
        <v>0.03</v>
      </c>
      <c r="E77" s="4">
        <v>0.03</v>
      </c>
      <c r="F77" s="4" t="s">
        <v>8</v>
      </c>
      <c r="G77" s="4"/>
      <c r="H77" s="4"/>
    </row>
    <row r="78" spans="1:10">
      <c r="A78" s="4" t="s">
        <v>332</v>
      </c>
      <c r="B78" s="4">
        <v>5.08</v>
      </c>
      <c r="C78" s="4">
        <v>0.112</v>
      </c>
      <c r="D78" s="4">
        <v>0.03</v>
      </c>
      <c r="E78" s="4">
        <v>0.03</v>
      </c>
      <c r="F78" s="4" t="s">
        <v>8</v>
      </c>
      <c r="G78" s="4"/>
      <c r="H78" s="4"/>
    </row>
    <row r="79" spans="1:10">
      <c r="A79" s="4" t="s">
        <v>333</v>
      </c>
      <c r="B79" s="4">
        <v>5.0789999999999997</v>
      </c>
      <c r="C79" s="4">
        <v>0.10920000000000001</v>
      </c>
      <c r="D79" s="4">
        <v>0.03</v>
      </c>
      <c r="E79" s="4">
        <v>0.03</v>
      </c>
      <c r="F79" s="4" t="s">
        <v>8</v>
      </c>
      <c r="G79" s="4"/>
      <c r="H79" s="4"/>
      <c r="J79" t="s">
        <v>337</v>
      </c>
    </row>
    <row r="81" spans="9:10">
      <c r="J81" t="s">
        <v>43</v>
      </c>
    </row>
    <row r="82" spans="9:10">
      <c r="J82" t="s">
        <v>44</v>
      </c>
    </row>
    <row r="83" spans="9:10">
      <c r="J83" t="s">
        <v>45</v>
      </c>
    </row>
    <row r="84" spans="9:10">
      <c r="J84" t="s">
        <v>46</v>
      </c>
    </row>
    <row r="85" spans="9:10">
      <c r="J85" t="s">
        <v>47</v>
      </c>
    </row>
    <row r="86" spans="9:10">
      <c r="I86" s="8"/>
      <c r="J86" t="s">
        <v>48</v>
      </c>
    </row>
    <row r="88" spans="9:10">
      <c r="J88" t="s">
        <v>49</v>
      </c>
    </row>
    <row r="89" spans="9:10">
      <c r="J89" t="s">
        <v>50</v>
      </c>
    </row>
    <row r="90" spans="9:10">
      <c r="J90" t="s">
        <v>338</v>
      </c>
    </row>
    <row r="91" spans="9:10">
      <c r="J91" t="s">
        <v>52</v>
      </c>
    </row>
    <row r="92" spans="9:10">
      <c r="J92" t="s">
        <v>339</v>
      </c>
    </row>
    <row r="93" spans="9:10">
      <c r="J93" t="s">
        <v>54</v>
      </c>
    </row>
    <row r="94" spans="9:10">
      <c r="J94" t="s">
        <v>340</v>
      </c>
    </row>
    <row r="96" spans="9:10">
      <c r="J96" t="s">
        <v>49</v>
      </c>
    </row>
    <row r="97" spans="10:10">
      <c r="J97" t="s">
        <v>341</v>
      </c>
    </row>
    <row r="98" spans="10:10">
      <c r="J98" t="s">
        <v>342</v>
      </c>
    </row>
    <row r="99" spans="10:10">
      <c r="J99" t="s">
        <v>52</v>
      </c>
    </row>
    <row r="100" spans="10:10">
      <c r="J100" t="s">
        <v>343</v>
      </c>
    </row>
    <row r="101" spans="10:10">
      <c r="J101" t="s">
        <v>59</v>
      </c>
    </row>
    <row r="102" spans="10:10">
      <c r="J102" t="s">
        <v>344</v>
      </c>
    </row>
    <row r="103" spans="10:10">
      <c r="J103" t="s">
        <v>61</v>
      </c>
    </row>
    <row r="104" spans="10:10">
      <c r="J104" t="s">
        <v>345</v>
      </c>
    </row>
    <row r="105" spans="10:10">
      <c r="J105" t="s">
        <v>346</v>
      </c>
    </row>
    <row r="106" spans="10:10">
      <c r="J106" t="s">
        <v>347</v>
      </c>
    </row>
    <row r="107" spans="10:10">
      <c r="J107" t="s">
        <v>346</v>
      </c>
    </row>
    <row r="108" spans="10:10">
      <c r="J108" t="s">
        <v>347</v>
      </c>
    </row>
    <row r="109" spans="10:10">
      <c r="J109" t="s">
        <v>346</v>
      </c>
    </row>
    <row r="110" spans="10:10">
      <c r="J110" t="s">
        <v>347</v>
      </c>
    </row>
    <row r="111" spans="10:10">
      <c r="J111" t="s">
        <v>346</v>
      </c>
    </row>
    <row r="112" spans="10:10">
      <c r="J112" t="s">
        <v>348</v>
      </c>
    </row>
    <row r="113" spans="10:10">
      <c r="J113" t="s">
        <v>346</v>
      </c>
    </row>
    <row r="114" spans="10:10">
      <c r="J114" t="s">
        <v>348</v>
      </c>
    </row>
    <row r="115" spans="10:10">
      <c r="J115" t="s">
        <v>346</v>
      </c>
    </row>
    <row r="116" spans="10:10">
      <c r="J116" t="s">
        <v>348</v>
      </c>
    </row>
    <row r="117" spans="10:10">
      <c r="J117" t="s">
        <v>63</v>
      </c>
    </row>
    <row r="118" spans="10:10">
      <c r="J118" t="s">
        <v>349</v>
      </c>
    </row>
    <row r="119" spans="10:10">
      <c r="J119" t="s">
        <v>350</v>
      </c>
    </row>
    <row r="120" spans="10:10">
      <c r="J120" t="s">
        <v>66</v>
      </c>
    </row>
    <row r="121" spans="10:10">
      <c r="J121" t="s">
        <v>351</v>
      </c>
    </row>
    <row r="122" spans="10:10">
      <c r="J122" t="s">
        <v>346</v>
      </c>
    </row>
    <row r="123" spans="10:10">
      <c r="J123" t="s">
        <v>352</v>
      </c>
    </row>
    <row r="124" spans="10:10">
      <c r="J124" t="s">
        <v>63</v>
      </c>
    </row>
    <row r="125" spans="10:10">
      <c r="J125" t="s">
        <v>353</v>
      </c>
    </row>
    <row r="126" spans="10:10">
      <c r="J126" t="s">
        <v>69</v>
      </c>
    </row>
    <row r="127" spans="10:10">
      <c r="J127" t="s">
        <v>354</v>
      </c>
    </row>
    <row r="128" spans="10:10">
      <c r="J128" t="s">
        <v>346</v>
      </c>
    </row>
    <row r="129" spans="10:10">
      <c r="J129" t="s">
        <v>355</v>
      </c>
    </row>
    <row r="130" spans="10:10">
      <c r="J130" t="s">
        <v>346</v>
      </c>
    </row>
    <row r="131" spans="10:10">
      <c r="J131" t="s">
        <v>356</v>
      </c>
    </row>
    <row r="132" spans="10:10">
      <c r="J132" t="s">
        <v>54</v>
      </c>
    </row>
    <row r="133" spans="10:10">
      <c r="J133" t="s">
        <v>357</v>
      </c>
    </row>
    <row r="135" spans="10:10">
      <c r="J135" t="s">
        <v>49</v>
      </c>
    </row>
    <row r="136" spans="10:10">
      <c r="J136" t="s">
        <v>358</v>
      </c>
    </row>
    <row r="137" spans="10:10">
      <c r="J137" t="s">
        <v>359</v>
      </c>
    </row>
    <row r="138" spans="10:10">
      <c r="J138" t="s">
        <v>52</v>
      </c>
    </row>
    <row r="139" spans="10:10">
      <c r="J139" t="s">
        <v>360</v>
      </c>
    </row>
    <row r="140" spans="10:10">
      <c r="J140" t="s">
        <v>59</v>
      </c>
    </row>
    <row r="141" spans="10:10">
      <c r="J141" t="s">
        <v>361</v>
      </c>
    </row>
    <row r="142" spans="10:10">
      <c r="J142" t="s">
        <v>76</v>
      </c>
    </row>
    <row r="143" spans="10:10">
      <c r="J143" t="s">
        <v>362</v>
      </c>
    </row>
    <row r="144" spans="10:10">
      <c r="J144" t="s">
        <v>363</v>
      </c>
    </row>
    <row r="145" spans="10:10">
      <c r="J145" t="s">
        <v>79</v>
      </c>
    </row>
    <row r="146" spans="10:10">
      <c r="J146" t="s">
        <v>364</v>
      </c>
    </row>
    <row r="147" spans="10:10">
      <c r="J147" t="s">
        <v>81</v>
      </c>
    </row>
    <row r="148" spans="10:10">
      <c r="J148" t="s">
        <v>365</v>
      </c>
    </row>
    <row r="149" spans="10:10">
      <c r="J149" t="s">
        <v>366</v>
      </c>
    </row>
    <row r="150" spans="10:10">
      <c r="J150" t="s">
        <v>367</v>
      </c>
    </row>
    <row r="151" spans="10:10">
      <c r="J151" t="s">
        <v>368</v>
      </c>
    </row>
    <row r="152" spans="10:10">
      <c r="J152" t="s">
        <v>54</v>
      </c>
    </row>
    <row r="153" spans="10:10">
      <c r="J153" t="s">
        <v>369</v>
      </c>
    </row>
  </sheetData>
  <mergeCells count="1">
    <mergeCell ref="A1:H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Prueba 1</vt:lpstr>
      <vt:lpstr>Prueba 2</vt:lpstr>
      <vt:lpstr>Prueba 3</vt:lpstr>
      <vt:lpstr>Prueba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Aksenova</dc:creator>
  <cp:lastModifiedBy>Tatiana Aksenova</cp:lastModifiedBy>
  <dcterms:created xsi:type="dcterms:W3CDTF">2015-06-05T18:19:34Z</dcterms:created>
  <dcterms:modified xsi:type="dcterms:W3CDTF">2026-07-27T22:41:10Z</dcterms:modified>
</cp:coreProperties>
</file>